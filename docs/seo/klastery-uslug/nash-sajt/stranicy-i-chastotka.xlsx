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0" hidden="1">'Страницы'!$A$1:$K$7</definedName>
    <definedName name="_xlnm._FilterDatabase" localSheetId="1" hidden="1">'Частотка'!$A$1:$G$45</definedName>
    <definedName name="_xlnm._FilterDatabase" localSheetId="2" hidden="1">'Выдача'!$A$1:$F$64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3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3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  <xf numFmtId="0" fontId="2" fillId="7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9" customWidth="1" min="4" max="4"/>
    <col width="12" customWidth="1" min="5" max="5"/>
    <col width="11" customWidth="1" min="6" max="6"/>
    <col width="9" customWidth="1" min="7" max="7"/>
    <col width="9" customWidth="1" min="8" max="8"/>
    <col width="11" customWidth="1" min="9" max="9"/>
    <col width="44" customWidth="1" min="10" max="10"/>
    <col width="56" customWidth="1" min="11" max="11"/>
  </cols>
  <sheetData>
    <row r="1" ht="32" customHeight="1">
      <c r="A1" s="1" t="inlineStr">
        <is>
          <t>Страница на нашем сайте</t>
        </is>
      </c>
      <c r="B1" s="1" t="inlineStr">
        <is>
          <t>Адрес</t>
        </is>
      </c>
      <c r="C1" s="1" t="inlineStr">
        <is>
          <t>Сейчас на сайте</t>
        </is>
      </c>
      <c r="D1" s="1" t="inlineStr">
        <is>
          <t>Очередь</t>
        </is>
      </c>
      <c r="E1" s="1" t="inlineStr">
        <is>
          <t>Спрос кластера, мес.</t>
        </is>
      </c>
      <c r="F1" s="1" t="inlineStr">
        <is>
          <t>Небольших сайтов в топ-10</t>
        </is>
      </c>
      <c r="G1" s="1" t="inlineStr">
        <is>
          <t>Средних</t>
        </is>
      </c>
      <c r="H1" s="1" t="inlineStr">
        <is>
          <t>Больших</t>
        </is>
      </c>
      <c r="I1" s="1" t="inlineStr">
        <is>
          <t>Порталов</t>
        </is>
      </c>
      <c r="J1" s="1" t="inlineStr">
        <is>
          <t>Что входит (формат по спросу)</t>
        </is>
      </c>
      <c r="K1" s="1" t="inlineStr">
        <is>
          <t>Почему на нашем сайте</t>
        </is>
      </c>
    </row>
    <row r="2" ht="54" customHeight="1">
      <c r="A2" s="2" t="inlineStr">
        <is>
          <t>Лазерная резка (упор на нержавейку)</t>
        </is>
      </c>
      <c r="B2" s="3" t="inlineStr">
        <is>
          <t>/uslugi/lazernaya-rezka/</t>
        </is>
      </c>
      <c r="C2" s="3" t="inlineStr">
        <is>
          <t>Частично — /uslugi/perforaciya-listov/</t>
        </is>
      </c>
      <c r="D2" s="4" t="n">
        <v>1</v>
      </c>
      <c r="E2" s="5">
        <f>SUMIFS(Частотка!$E$2:$E$45,Частотка!$A$2:$A$45,"Лазерная резка (упор на нержавейку)",Частотка!$B$2:$B$45,"&lt;&gt;смежный")</f>
        <v/>
      </c>
      <c r="F2" s="6">
        <f>COUNTIFS(Выдача!$A$2:$A$64,"Лазерная резка (упор на нержавейку)",Выдача!$D$2:$D$64,"Мини-сайт")</f>
        <v/>
      </c>
      <c r="G2" s="7">
        <f>COUNTIFS(Выдача!$A$2:$A$64,"Лазерная резка (упор на нержавейку)",Выдача!$D$2:$D$64,"Средний сайт")</f>
        <v/>
      </c>
      <c r="H2" s="8">
        <f>COUNTIFS(Выдача!$A$2:$A$64,"Лазерная резка (упор на нержавейку)",Выдача!$D$2:$D$64,"Большой сайт")</f>
        <v/>
      </c>
      <c r="I2" s="9">
        <f>COUNTIFS(Выдача!$A$2:$A$64,"Лазерная резка (упор на нержавейку)",Выдача!$D$2:$D$64,"Портал / форум / вики")</f>
        <v/>
      </c>
      <c r="J2" s="3" t="inlineStr">
        <is>
          <t>№ 29 Лазерная резка — 2690 (основа страницы)</t>
        </is>
      </c>
      <c r="K2" s="3" t="inlineStr">
        <is>
          <t>В топе страницы услуг внутри многостраничных сайтов металлообработки (promexcut, gravernu, metall-24). Резка нержавейки — профиль нашего сайта. Старые адреса /laser/ и /lasertrub/ перенаправить сюда.</t>
        </is>
      </c>
    </row>
    <row r="3" ht="45" customHeight="1">
      <c r="A3" s="2" t="inlineStr">
        <is>
          <t>Травление и пассивация нержавейки</t>
        </is>
      </c>
      <c r="B3" s="3" t="inlineStr">
        <is>
          <t>/uslugi/travlenie-i-passivaciya/</t>
        </is>
      </c>
      <c r="C3" s="3" t="inlineStr">
        <is>
          <t>Нет (упоминание в блоге)</t>
        </is>
      </c>
      <c r="D3" s="4" t="n">
        <v>1</v>
      </c>
      <c r="E3" s="5">
        <f>SUMIFS(Частотка!$E$2:$E$45,Частотка!$A$2:$A$45,"Травление и пассивация нержавейки",Частотка!$B$2:$B$45,"&lt;&gt;смежный")</f>
        <v/>
      </c>
      <c r="F3" s="6">
        <f>COUNTIFS(Выдача!$A$2:$A$64,"Травление и пассивация нержавейки",Выдача!$D$2:$D$64,"Мини-сайт")</f>
        <v/>
      </c>
      <c r="G3" s="7">
        <f>COUNTIFS(Выдача!$A$2:$A$64,"Травление и пассивация нержавейки",Выдача!$D$2:$D$64,"Средний сайт")</f>
        <v/>
      </c>
      <c r="H3" s="8">
        <f>COUNTIFS(Выдача!$A$2:$A$64,"Травление и пассивация нержавейки",Выдача!$D$2:$D$64,"Большой сайт")</f>
        <v/>
      </c>
      <c r="I3" s="9">
        <f>COUNTIFS(Выдача!$A$2:$A$64,"Травление и пассивация нержавейки",Выдача!$D$2:$D$64,"Портал / форум / вики")</f>
        <v/>
      </c>
      <c r="J3" s="3" t="inlineStr">
        <is>
          <t>№ 25 Пассивация — 680 (основа страницы)
№ 8 Хим. пас (травление нержавейки) — 220 (отдельный блок)</t>
        </is>
      </c>
      <c r="K3" s="3" t="inlineStr">
        <is>
          <t>Топ — статьи, услуг почти нет. Услуга напрямую про нержавейку и усиливает тематику нашего сайта.</t>
        </is>
      </c>
    </row>
    <row r="4" ht="40.5" customHeight="1">
      <c r="A4" s="2" t="inlineStr">
        <is>
          <t>Гидроабразивная резка</t>
        </is>
      </c>
      <c r="B4" s="3" t="inlineStr">
        <is>
          <t>/uslugi/gidroabrazivnaya-rezka/</t>
        </is>
      </c>
      <c r="C4" s="3" t="inlineStr">
        <is>
          <t>Частично — /uslugi/perforaciya-listov/</t>
        </is>
      </c>
      <c r="D4" s="4" t="n">
        <v>1</v>
      </c>
      <c r="E4" s="5">
        <f>SUMIFS(Частотка!$E$2:$E$45,Частотка!$A$2:$A$45,"Гидроабразивная резка",Частотка!$B$2:$B$45,"&lt;&gt;смежный")</f>
        <v/>
      </c>
      <c r="F4" s="6">
        <f>COUNTIFS(Выдача!$A$2:$A$64,"Гидроабразивная резка",Выдача!$D$2:$D$64,"Мини-сайт")</f>
        <v/>
      </c>
      <c r="G4" s="7">
        <f>COUNTIFS(Выдача!$A$2:$A$64,"Гидроабразивная резка",Выдача!$D$2:$D$64,"Средний сайт")</f>
        <v/>
      </c>
      <c r="H4" s="8">
        <f>COUNTIFS(Выдача!$A$2:$A$64,"Гидроабразивная резка",Выдача!$D$2:$D$64,"Большой сайт")</f>
        <v/>
      </c>
      <c r="I4" s="9">
        <f>COUNTIFS(Выдача!$A$2:$A$64,"Гидроабразивная резка",Выдача!$D$2:$D$64,"Портал / форум / вики")</f>
        <v/>
      </c>
      <c r="J4" s="3" t="inlineStr">
        <is>
          <t>№ 30 Гидроабразивная резка — 870 (основа страницы)</t>
        </is>
      </c>
      <c r="K4" s="3" t="inlineStr">
        <is>
          <t>Топ смешанный: небольшой kit-cut.ru и страницы услуг utk-steel, promexcut. Услуга металлообработки — место на нашем сайте. Старый адрес /gidroabraziv/ перенаправить сюда.</t>
        </is>
      </c>
    </row>
    <row r="5" ht="45" customHeight="1">
      <c r="A5" s="2" t="inlineStr">
        <is>
          <t>Электрохимическая полировка нержавейки</t>
        </is>
      </c>
      <c r="B5" s="3" t="inlineStr">
        <is>
          <t>/uslugi/elektrohimicheskaya-polirovka/</t>
        </is>
      </c>
      <c r="C5" s="3" t="inlineStr">
        <is>
          <t>Частично — /uslugi/polirovka/</t>
        </is>
      </c>
      <c r="D5" s="4" t="n">
        <v>1</v>
      </c>
      <c r="E5" s="5">
        <f>SUMIFS(Частотка!$E$2:$E$45,Частотка!$A$2:$A$45,"Электрохимическая полировка нержавейки",Частотка!$B$2:$B$45,"&lt;&gt;смежный")</f>
        <v/>
      </c>
      <c r="F5" s="6">
        <f>COUNTIFS(Выдача!$A$2:$A$64,"Электрохимическая полировка нержавейки",Выдача!$D$2:$D$64,"Мини-сайт")</f>
        <v/>
      </c>
      <c r="G5" s="7">
        <f>COUNTIFS(Выдача!$A$2:$A$64,"Электрохимическая полировка нержавейки",Выдача!$D$2:$D$64,"Средний сайт")</f>
        <v/>
      </c>
      <c r="H5" s="8">
        <f>COUNTIFS(Выдача!$A$2:$A$64,"Электрохимическая полировка нержавейки",Выдача!$D$2:$D$64,"Большой сайт")</f>
        <v/>
      </c>
      <c r="I5" s="9">
        <f>COUNTIFS(Выдача!$A$2:$A$64,"Электрохимическая полировка нержавейки",Выдача!$D$2:$D$64,"Портал / форум / вики")</f>
        <v/>
      </c>
      <c r="J5" s="3" t="inlineStr">
        <is>
          <t>№ 6 Электрохимическое полирование (нерж.) — 240 (основа страницы)
№ 7 Электроплазменная полировка — 0 (раздел)</t>
        </is>
      </c>
      <c r="K5" s="3" t="inlineStr">
        <is>
          <t>В топе статьи и форумы, услуг мало. Полировка нержавейки для пищевых линий — профиль нашего сайта. Электроплазменная полировка — раздел.</t>
        </is>
      </c>
    </row>
    <row r="6" ht="30" customHeight="1">
      <c r="A6" s="2" t="inlineStr">
        <is>
          <t>Обзор «Гальванические покрытия»</t>
        </is>
      </c>
      <c r="B6" s="3" t="inlineStr">
        <is>
          <t>/uslugi/galvanicheskie-pokrytiya/</t>
        </is>
      </c>
      <c r="C6" s="3" t="inlineStr">
        <is>
          <t>Нет</t>
        </is>
      </c>
      <c r="D6" s="4" t="n">
        <v>1</v>
      </c>
      <c r="E6" s="5">
        <f>SUMIFS(Частотка!$E$2:$E$45,Частотка!$A$2:$A$45,"Обзор «Гальванические покрытия»",Частотка!$B$2:$B$45,"&lt;&gt;смежный")</f>
        <v/>
      </c>
      <c r="F6" s="6">
        <f>COUNTIFS(Выдача!$A$2:$A$64,"Обзор «Гальванические покрытия»",Выдача!$D$2:$D$64,"Мини-сайт")</f>
        <v/>
      </c>
      <c r="G6" s="7">
        <f>COUNTIFS(Выдача!$A$2:$A$64,"Обзор «Гальванические покрытия»",Выдача!$D$2:$D$64,"Средний сайт")</f>
        <v/>
      </c>
      <c r="H6" s="8">
        <f>COUNTIFS(Выдача!$A$2:$A$64,"Обзор «Гальванические покрытия»",Выдача!$D$2:$D$64,"Большой сайт")</f>
        <v/>
      </c>
      <c r="I6" s="9">
        <f>COUNTIFS(Выдача!$A$2:$A$64,"Обзор «Гальванические покрытия»",Выдача!$D$2:$D$64,"Портал / форум / вики")</f>
        <v/>
      </c>
      <c r="J6" s="3" t="inlineStr">
        <is>
          <t>№ Хаб Хаб «Гальванические покрытия» — 380 (основа страницы)</t>
        </is>
      </c>
      <c r="K6" s="3" t="inlineStr">
        <is>
          <t>Необязательно. Обзорная страница со ссылками на небольшие сайты покрытий; в топе обзорные статьи средних сайтов.</t>
        </is>
      </c>
    </row>
    <row r="7" ht="45" customHeight="1">
      <c r="A7" s="2" t="inlineStr">
        <is>
          <t>Шлифовка: продольная и круглая</t>
        </is>
      </c>
      <c r="B7" s="3" t="inlineStr">
        <is>
          <t>/uslugi/shlifovanie/ или новая страница</t>
        </is>
      </c>
      <c r="C7" s="3" t="inlineStr">
        <is>
          <t>Возможно — /uslugi/shlifovanie/</t>
        </is>
      </c>
      <c r="D7" s="4" t="n">
        <v>2</v>
      </c>
      <c r="E7" s="5">
        <f>SUMIFS(Частотка!$E$2:$E$45,Частотка!$A$2:$A$45,"Шлифовка: продольная и круглая",Частотка!$B$2:$B$45,"&lt;&gt;смежный")</f>
        <v/>
      </c>
      <c r="F7" s="6">
        <f>COUNTIFS(Выдача!$A$2:$A$64,"Шлифовка: продольная и круглая",Выдача!$D$2:$D$64,"Мини-сайт")</f>
        <v/>
      </c>
      <c r="G7" s="7">
        <f>COUNTIFS(Выдача!$A$2:$A$64,"Шлифовка: продольная и круглая",Выдача!$D$2:$D$64,"Средний сайт")</f>
        <v/>
      </c>
      <c r="H7" s="8">
        <f>COUNTIFS(Выдача!$A$2:$A$64,"Шлифовка: продольная и круглая",Выдача!$D$2:$D$64,"Большой сайт")</f>
        <v/>
      </c>
      <c r="I7" s="9">
        <f>COUNTIFS(Выдача!$A$2:$A$64,"Шлифовка: продольная и круглая",Выдача!$D$2:$D$64,"Портал / форум / вики")</f>
        <v/>
      </c>
      <c r="J7" s="3" t="inlineStr">
        <is>
          <t>№ 27 Шлифовка продольная — 300 (основа страницы)
№ 28 Шлифовка круглая — 120 (отдельный блок)</t>
        </is>
      </c>
      <c r="K7" s="3" t="inlineStr">
        <is>
          <t>Уточнить у клиента. Круглая шлифовка — в топе небольшие заводы мехобработки. Если «продольная» — это шлифовка листа, страница уже есть.</t>
        </is>
      </c>
    </row>
    <row r="9">
      <c r="C9" s="10" t="inlineStr">
        <is>
          <t>Итого спрос страниц</t>
        </is>
      </c>
      <c r="E9" s="11">
        <f>SUM(E2:E7)</f>
        <v/>
      </c>
    </row>
    <row r="11">
      <c r="A11" s="12" t="inlineStr">
        <is>
          <t>Спрос кластера — сумма запросов его направлений (лист «Частотка»), без смежных запросов уже существующих страниц. Google (Ahrefs RU); с Яндексом примерно ×2–3.</t>
        </is>
      </c>
    </row>
    <row r="12">
      <c r="A12" s="12" t="inlineStr">
        <is>
          <t>Небольших / средних / больших — конкуренты в топ-10 Google RU по всем запросам кластера (лист «Выдача»), не наш сайт.</t>
        </is>
      </c>
    </row>
    <row r="13">
      <c r="A13" s="12" t="inlineStr">
        <is>
          <t>Порядок: сначала очередь 1, внутри — по спросу.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1" t="inlineStr">
        <is>
          <t>Кластер</t>
        </is>
      </c>
      <c r="B1" s="1" t="inlineStr">
        <is>
          <t>№ у клиента</t>
        </is>
      </c>
      <c r="C1" s="1" t="inlineStr">
        <is>
          <t>Направление клиента</t>
        </is>
      </c>
      <c r="D1" s="1" t="inlineStr">
        <is>
          <t>Запрос</t>
        </is>
      </c>
      <c r="E1" s="1" t="inlineStr">
        <is>
          <t>Объём, Google (Ahrefs RU), мес.</t>
        </is>
      </c>
      <c r="F1" s="1" t="inlineStr">
        <is>
          <t>KD</t>
        </is>
      </c>
      <c r="G1" s="1" t="inlineStr">
        <is>
          <t>Wordstat точная</t>
        </is>
      </c>
    </row>
    <row r="2" ht="16" customHeight="1">
      <c r="A2" s="3" t="inlineStr">
        <is>
          <t>Лазерная резка (упор на нержавейку)</t>
        </is>
      </c>
      <c r="B2" s="4" t="n">
        <v>29</v>
      </c>
      <c r="C2" s="3" t="inlineStr">
        <is>
          <t>Лазерная резка</t>
        </is>
      </c>
      <c r="D2" s="3" t="inlineStr">
        <is>
          <t>лазерная резка металла</t>
        </is>
      </c>
      <c r="E2" s="13" t="n">
        <v>1000</v>
      </c>
      <c r="F2" s="4" t="n">
        <v>0</v>
      </c>
      <c r="G2" s="4" t="n"/>
    </row>
    <row r="3" ht="16" customHeight="1">
      <c r="A3" s="3" t="inlineStr">
        <is>
          <t>Лазерная резка (упор на нержавейку)</t>
        </is>
      </c>
      <c r="B3" s="4" t="n">
        <v>29</v>
      </c>
      <c r="C3" s="3" t="inlineStr">
        <is>
          <t>Лазерная резка</t>
        </is>
      </c>
      <c r="D3" s="3" t="inlineStr">
        <is>
          <t>лазерная резка</t>
        </is>
      </c>
      <c r="E3" s="13" t="n">
        <v>600</v>
      </c>
      <c r="F3" s="4" t="n">
        <v>5</v>
      </c>
      <c r="G3" s="4" t="n"/>
    </row>
    <row r="4" ht="16" customHeight="1">
      <c r="A4" s="3" t="inlineStr">
        <is>
          <t>Лазерная резка (упор на нержавейку)</t>
        </is>
      </c>
      <c r="B4" s="4" t="n">
        <v>29</v>
      </c>
      <c r="C4" s="3" t="inlineStr">
        <is>
          <t>Лазерная резка</t>
        </is>
      </c>
      <c r="D4" s="3" t="inlineStr">
        <is>
          <t>лазерная резка нержавейки</t>
        </is>
      </c>
      <c r="E4" s="13" t="n">
        <v>500</v>
      </c>
      <c r="F4" s="4" t="n">
        <v>0</v>
      </c>
      <c r="G4" s="4" t="n"/>
    </row>
    <row r="5" ht="16" customHeight="1">
      <c r="A5" s="3" t="inlineStr">
        <is>
          <t>Лазерная резка (упор на нержавейку)</t>
        </is>
      </c>
      <c r="B5" s="4" t="n">
        <v>29</v>
      </c>
      <c r="C5" s="3" t="inlineStr">
        <is>
          <t>Лазерная резка</t>
        </is>
      </c>
      <c r="D5" s="3" t="inlineStr">
        <is>
          <t>лазерная резка нержавеющей стали</t>
        </is>
      </c>
      <c r="E5" s="13" t="n">
        <v>300</v>
      </c>
      <c r="F5" s="4" t="n">
        <v>0</v>
      </c>
      <c r="G5" s="4" t="n"/>
    </row>
    <row r="6" ht="16" customHeight="1">
      <c r="A6" s="3" t="inlineStr">
        <is>
          <t>Лазерная резка (упор на нержавейку)</t>
        </is>
      </c>
      <c r="B6" s="4" t="n">
        <v>29</v>
      </c>
      <c r="C6" s="3" t="inlineStr">
        <is>
          <t>Лазерная резка</t>
        </is>
      </c>
      <c r="D6" s="3" t="inlineStr">
        <is>
          <t>резка нержавейки лазером</t>
        </is>
      </c>
      <c r="E6" s="13" t="n">
        <v>200</v>
      </c>
      <c r="F6" s="4" t="n">
        <v>0</v>
      </c>
      <c r="G6" s="4" t="n">
        <v>22</v>
      </c>
    </row>
    <row r="7" ht="16" customHeight="1">
      <c r="A7" s="3" t="inlineStr">
        <is>
          <t>Лазерная резка (упор на нержавейку)</t>
        </is>
      </c>
      <c r="B7" s="4" t="n">
        <v>29</v>
      </c>
      <c r="C7" s="3" t="inlineStr">
        <is>
          <t>Лазерная резка</t>
        </is>
      </c>
      <c r="D7" s="3" t="inlineStr">
        <is>
          <t>лазерная резка металла нижний новгород</t>
        </is>
      </c>
      <c r="E7" s="13" t="n">
        <v>50</v>
      </c>
      <c r="F7" s="4" t="n">
        <v>0</v>
      </c>
      <c r="G7" s="4" t="n"/>
    </row>
    <row r="8" ht="16" customHeight="1">
      <c r="A8" s="3" t="inlineStr">
        <is>
          <t>Лазерная резка (упор на нержавейку)</t>
        </is>
      </c>
      <c r="B8" s="4" t="n">
        <v>29</v>
      </c>
      <c r="C8" s="3" t="inlineStr">
        <is>
          <t>Лазерная резка</t>
        </is>
      </c>
      <c r="D8" s="3" t="inlineStr">
        <is>
          <t>лазерная резка нижний новгород</t>
        </is>
      </c>
      <c r="E8" s="13" t="n">
        <v>40</v>
      </c>
      <c r="F8" s="4" t="n"/>
      <c r="G8" s="4" t="n"/>
    </row>
    <row r="9" ht="16" customHeight="1">
      <c r="A9" s="3" t="inlineStr">
        <is>
          <t>Лазерная резка (упор на нержавейку)</t>
        </is>
      </c>
      <c r="B9" s="4" t="n">
        <v>29</v>
      </c>
      <c r="C9" s="3" t="inlineStr">
        <is>
          <t>Лазерная резка</t>
        </is>
      </c>
      <c r="D9" s="3" t="inlineStr">
        <is>
          <t>лазерная резка нержавейки нижний новгород</t>
        </is>
      </c>
      <c r="E9" s="13" t="n">
        <v>0</v>
      </c>
      <c r="F9" s="4" t="n"/>
      <c r="G9" s="4" t="n"/>
    </row>
    <row r="10" ht="16" customHeight="1">
      <c r="A10" s="3" t="inlineStr">
        <is>
          <t>Травление и пассивация нержавейки</t>
        </is>
      </c>
      <c r="B10" s="4" t="n">
        <v>25</v>
      </c>
      <c r="C10" s="3" t="inlineStr">
        <is>
          <t>Пассивация</t>
        </is>
      </c>
      <c r="D10" s="3" t="inlineStr">
        <is>
          <t>пассивация</t>
        </is>
      </c>
      <c r="E10" s="13" t="n">
        <v>300</v>
      </c>
      <c r="F10" s="4" t="n">
        <v>0</v>
      </c>
      <c r="G10" s="4" t="n"/>
    </row>
    <row r="11" ht="16" customHeight="1">
      <c r="A11" s="3" t="inlineStr">
        <is>
          <t>Травление и пассивация нержавейки</t>
        </is>
      </c>
      <c r="B11" s="4" t="n">
        <v>25</v>
      </c>
      <c r="C11" s="3" t="inlineStr">
        <is>
          <t>Пассивация</t>
        </is>
      </c>
      <c r="D11" s="3" t="inlineStr">
        <is>
          <t>пассивация металла</t>
        </is>
      </c>
      <c r="E11" s="13" t="n">
        <v>150</v>
      </c>
      <c r="F11" s="4" t="n">
        <v>0</v>
      </c>
      <c r="G11" s="4" t="n"/>
    </row>
    <row r="12" ht="16" customHeight="1">
      <c r="A12" s="3" t="inlineStr">
        <is>
          <t>Травление и пассивация нержавейки</t>
        </is>
      </c>
      <c r="B12" s="4" t="n">
        <v>25</v>
      </c>
      <c r="C12" s="3" t="inlineStr">
        <is>
          <t>Пассивация</t>
        </is>
      </c>
      <c r="D12" s="3" t="inlineStr">
        <is>
          <t>пассивация нержавейки</t>
        </is>
      </c>
      <c r="E12" s="13" t="n">
        <v>150</v>
      </c>
      <c r="F12" s="4" t="n">
        <v>0</v>
      </c>
      <c r="G12" s="4" t="n"/>
    </row>
    <row r="13" ht="16" customHeight="1">
      <c r="A13" s="3" t="inlineStr">
        <is>
          <t>Травление и пассивация нержавейки</t>
        </is>
      </c>
      <c r="B13" s="4" t="n">
        <v>25</v>
      </c>
      <c r="C13" s="3" t="inlineStr">
        <is>
          <t>Пассивация</t>
        </is>
      </c>
      <c r="D13" s="3" t="inlineStr">
        <is>
          <t>пассивация нержавеющей стали</t>
        </is>
      </c>
      <c r="E13" s="13" t="n">
        <v>80</v>
      </c>
      <c r="F13" s="4" t="n">
        <v>0</v>
      </c>
      <c r="G13" s="4" t="n"/>
    </row>
    <row r="14" ht="16" customHeight="1">
      <c r="A14" s="3" t="inlineStr">
        <is>
          <t>Травление и пассивация нержавейки</t>
        </is>
      </c>
      <c r="B14" s="4" t="n">
        <v>8</v>
      </c>
      <c r="C14" s="3" t="inlineStr">
        <is>
          <t>Хим. пас (травление нержавейки)</t>
        </is>
      </c>
      <c r="D14" s="3" t="inlineStr">
        <is>
          <t>травление металла</t>
        </is>
      </c>
      <c r="E14" s="13" t="n">
        <v>150</v>
      </c>
      <c r="F14" s="4" t="n">
        <v>0</v>
      </c>
      <c r="G14" s="4" t="n"/>
    </row>
    <row r="15" ht="16" customHeight="1">
      <c r="A15" s="3" t="inlineStr">
        <is>
          <t>Травление и пассивация нержавейки</t>
        </is>
      </c>
      <c r="B15" s="4" t="n">
        <v>8</v>
      </c>
      <c r="C15" s="3" t="inlineStr">
        <is>
          <t>Хим. пас (травление нержавейки)</t>
        </is>
      </c>
      <c r="D15" s="3" t="inlineStr">
        <is>
          <t>травление нержавеющей стали</t>
        </is>
      </c>
      <c r="E15" s="13" t="n">
        <v>40</v>
      </c>
      <c r="F15" s="4" t="n"/>
      <c r="G15" s="4" t="n"/>
    </row>
    <row r="16" ht="16" customHeight="1">
      <c r="A16" s="3" t="inlineStr">
        <is>
          <t>Травление и пассивация нержавейки</t>
        </is>
      </c>
      <c r="B16" s="4" t="n">
        <v>8</v>
      </c>
      <c r="C16" s="3" t="inlineStr">
        <is>
          <t>Хим. пас (травление нержавейки)</t>
        </is>
      </c>
      <c r="D16" s="3" t="inlineStr">
        <is>
          <t>травление нержавейки</t>
        </is>
      </c>
      <c r="E16" s="13" t="n">
        <v>30</v>
      </c>
      <c r="F16" s="4" t="n">
        <v>0</v>
      </c>
      <c r="G16" s="4" t="n"/>
    </row>
    <row r="17" ht="16" customHeight="1">
      <c r="A17" s="3" t="inlineStr">
        <is>
          <t>Травление и пассивация нержавейки</t>
        </is>
      </c>
      <c r="B17" s="4" t="n">
        <v>8</v>
      </c>
      <c r="C17" s="3" t="inlineStr">
        <is>
          <t>Хим. пас (травление нержавейки)</t>
        </is>
      </c>
      <c r="D17" s="3" t="inlineStr">
        <is>
          <t>травление сварных швов</t>
        </is>
      </c>
      <c r="E17" s="13" t="n">
        <v>0</v>
      </c>
      <c r="F17" s="4" t="n"/>
      <c r="G17" s="4" t="n"/>
    </row>
    <row r="18" ht="16" customHeight="1">
      <c r="A18" s="3" t="inlineStr">
        <is>
          <t>Травление и пассивация нержавейки</t>
        </is>
      </c>
      <c r="B18" s="4" t="n">
        <v>8</v>
      </c>
      <c r="C18" s="3" t="inlineStr">
        <is>
          <t>Хим. пас (травление нержавейки)</t>
        </is>
      </c>
      <c r="D18" s="3" t="inlineStr">
        <is>
          <t>травление и пассивация</t>
        </is>
      </c>
      <c r="E18" s="13" t="n">
        <v>0</v>
      </c>
      <c r="F18" s="4" t="n"/>
      <c r="G18" s="4" t="n"/>
    </row>
    <row r="19" ht="16" customHeight="1">
      <c r="A19" s="3" t="inlineStr">
        <is>
          <t>Гидроабразивная резка</t>
        </is>
      </c>
      <c r="B19" s="4" t="n">
        <v>30</v>
      </c>
      <c r="C19" s="3" t="inlineStr">
        <is>
          <t>Гидроабразивная резка</t>
        </is>
      </c>
      <c r="D19" s="3" t="inlineStr">
        <is>
          <t>гидроабразивная резка</t>
        </is>
      </c>
      <c r="E19" s="13" t="n">
        <v>350</v>
      </c>
      <c r="F19" s="4" t="n">
        <v>17</v>
      </c>
      <c r="G19" s="4" t="n"/>
    </row>
    <row r="20" ht="16" customHeight="1">
      <c r="A20" s="3" t="inlineStr">
        <is>
          <t>Гидроабразивная резка</t>
        </is>
      </c>
      <c r="B20" s="4" t="n">
        <v>30</v>
      </c>
      <c r="C20" s="3" t="inlineStr">
        <is>
          <t>Гидроабразивная резка</t>
        </is>
      </c>
      <c r="D20" s="3" t="inlineStr">
        <is>
          <t>гидроабразивная резка металла</t>
        </is>
      </c>
      <c r="E20" s="13" t="n">
        <v>300</v>
      </c>
      <c r="F20" s="4" t="n">
        <v>6</v>
      </c>
      <c r="G20" s="4" t="n"/>
    </row>
    <row r="21" ht="16" customHeight="1">
      <c r="A21" s="3" t="inlineStr">
        <is>
          <t>Гидроабразивная резка</t>
        </is>
      </c>
      <c r="B21" s="4" t="n">
        <v>30</v>
      </c>
      <c r="C21" s="3" t="inlineStr">
        <is>
          <t>Гидроабразивная резка</t>
        </is>
      </c>
      <c r="D21" s="3" t="inlineStr">
        <is>
          <t>гидрорезка</t>
        </is>
      </c>
      <c r="E21" s="13" t="n">
        <v>200</v>
      </c>
      <c r="F21" s="4" t="n">
        <v>0</v>
      </c>
      <c r="G21" s="4" t="n"/>
    </row>
    <row r="22" ht="16" customHeight="1">
      <c r="A22" s="3" t="inlineStr">
        <is>
          <t>Гидроабразивная резка</t>
        </is>
      </c>
      <c r="B22" s="4" t="n">
        <v>30</v>
      </c>
      <c r="C22" s="3" t="inlineStr">
        <is>
          <t>Гидроабразивная резка</t>
        </is>
      </c>
      <c r="D22" s="3" t="inlineStr">
        <is>
          <t>гидроабразивная резка нижний новгород</t>
        </is>
      </c>
      <c r="E22" s="13" t="n">
        <v>20</v>
      </c>
      <c r="F22" s="4" t="n"/>
      <c r="G22" s="4" t="n"/>
    </row>
    <row r="23" ht="16" customHeight="1">
      <c r="A23" s="3" t="inlineStr">
        <is>
          <t>Электрохимическая полировка нержавейки</t>
        </is>
      </c>
      <c r="B23" s="4" t="n">
        <v>6</v>
      </c>
      <c r="C23" s="3" t="inlineStr">
        <is>
          <t>Электрохимическое полирование (нерж.)</t>
        </is>
      </c>
      <c r="D23" s="3" t="inlineStr">
        <is>
          <t>электрополировка</t>
        </is>
      </c>
      <c r="E23" s="13" t="n">
        <v>90</v>
      </c>
      <c r="F23" s="4" t="n">
        <v>0</v>
      </c>
      <c r="G23" s="4" t="n"/>
    </row>
    <row r="24" ht="16" customHeight="1">
      <c r="A24" s="3" t="inlineStr">
        <is>
          <t>Электрохимическая полировка нержавейки</t>
        </is>
      </c>
      <c r="B24" s="4" t="n">
        <v>6</v>
      </c>
      <c r="C24" s="3" t="inlineStr">
        <is>
          <t>Электрохимическое полирование (нерж.)</t>
        </is>
      </c>
      <c r="D24" s="3" t="inlineStr">
        <is>
          <t>электрохимическая полировка</t>
        </is>
      </c>
      <c r="E24" s="13" t="n">
        <v>80</v>
      </c>
      <c r="F24" s="4" t="n">
        <v>0</v>
      </c>
      <c r="G24" s="4" t="n"/>
    </row>
    <row r="25" ht="16" customHeight="1">
      <c r="A25" s="3" t="inlineStr">
        <is>
          <t>Электрохимическая полировка нержавейки</t>
        </is>
      </c>
      <c r="B25" s="4" t="n">
        <v>6</v>
      </c>
      <c r="C25" s="3" t="inlineStr">
        <is>
          <t>Электрохимическое полирование (нерж.)</t>
        </is>
      </c>
      <c r="D25" s="3" t="inlineStr">
        <is>
          <t>электрохимическая полировка нержавейки</t>
        </is>
      </c>
      <c r="E25" s="13" t="n">
        <v>30</v>
      </c>
      <c r="F25" s="4" t="n">
        <v>0</v>
      </c>
      <c r="G25" s="4" t="n"/>
    </row>
    <row r="26" ht="16" customHeight="1">
      <c r="A26" s="3" t="inlineStr">
        <is>
          <t>Электрохимическая полировка нержавейки</t>
        </is>
      </c>
      <c r="B26" s="4" t="n">
        <v>6</v>
      </c>
      <c r="C26" s="3" t="inlineStr">
        <is>
          <t>Электрохимическое полирование (нерж.)</t>
        </is>
      </c>
      <c r="D26" s="3" t="inlineStr">
        <is>
          <t>электрополировка нержавеющей стали</t>
        </is>
      </c>
      <c r="E26" s="13" t="n">
        <v>30</v>
      </c>
      <c r="F26" s="4" t="n"/>
      <c r="G26" s="4" t="n"/>
    </row>
    <row r="27" ht="16" customHeight="1">
      <c r="A27" s="3" t="inlineStr">
        <is>
          <t>Электрохимическая полировка нержавейки</t>
        </is>
      </c>
      <c r="B27" s="4" t="n">
        <v>6</v>
      </c>
      <c r="C27" s="3" t="inlineStr">
        <is>
          <t>Электрохимическое полирование (нерж.)</t>
        </is>
      </c>
      <c r="D27" s="3" t="inlineStr">
        <is>
          <t>электрополировка нержавейки</t>
        </is>
      </c>
      <c r="E27" s="13" t="n">
        <v>10</v>
      </c>
      <c r="F27" s="4" t="n"/>
      <c r="G27" s="4" t="n"/>
    </row>
    <row r="28" ht="16" customHeight="1">
      <c r="A28" s="3" t="inlineStr">
        <is>
          <t>Электрохимическая полировка нержавейки</t>
        </is>
      </c>
      <c r="B28" s="4" t="n">
        <v>7</v>
      </c>
      <c r="C28" s="3" t="inlineStr">
        <is>
          <t>Электроплазменная полировка</t>
        </is>
      </c>
      <c r="D28" s="3" t="inlineStr">
        <is>
          <t>электроплазменная полировка</t>
        </is>
      </c>
      <c r="E28" s="13" t="n">
        <v>0</v>
      </c>
      <c r="F28" s="4" t="n"/>
      <c r="G28" s="4" t="n"/>
    </row>
    <row r="29" ht="16" customHeight="1">
      <c r="A29" s="3" t="inlineStr">
        <is>
          <t>Электрохимическая полировка нержавейки</t>
        </is>
      </c>
      <c r="B29" s="4" t="n">
        <v>7</v>
      </c>
      <c r="C29" s="3" t="inlineStr">
        <is>
          <t>Электроплазменная полировка</t>
        </is>
      </c>
      <c r="D29" s="3" t="inlineStr">
        <is>
          <t>плазменная полировка</t>
        </is>
      </c>
      <c r="E29" s="13" t="n">
        <v>0</v>
      </c>
      <c r="F29" s="4" t="n"/>
      <c r="G29" s="4" t="n"/>
    </row>
    <row r="30" ht="16" customHeight="1">
      <c r="A30" s="3" t="inlineStr">
        <is>
          <t>Электрохимическая полировка нержавейки</t>
        </is>
      </c>
      <c r="B30" s="4" t="inlineStr">
        <is>
          <t>смежный</t>
        </is>
      </c>
      <c r="C30" s="3" t="inlineStr">
        <is>
          <t>Уже есть: /uslugi/polirovka/</t>
        </is>
      </c>
      <c r="D30" s="3" t="inlineStr">
        <is>
          <t>полировка металла</t>
        </is>
      </c>
      <c r="E30" s="13" t="n">
        <v>100</v>
      </c>
      <c r="F30" s="4" t="n">
        <v>0</v>
      </c>
      <c r="G30" s="4" t="n"/>
    </row>
    <row r="31" ht="16" customHeight="1">
      <c r="A31" s="3" t="inlineStr">
        <is>
          <t>Электрохимическая полировка нержавейки</t>
        </is>
      </c>
      <c r="B31" s="4" t="inlineStr">
        <is>
          <t>смежный</t>
        </is>
      </c>
      <c r="C31" s="3" t="inlineStr">
        <is>
          <t>Уже есть: /uslugi/polirovka/</t>
        </is>
      </c>
      <c r="D31" s="3" t="inlineStr">
        <is>
          <t>полировка нержавейки</t>
        </is>
      </c>
      <c r="E31" s="13" t="n">
        <v>70</v>
      </c>
      <c r="F31" s="4" t="n">
        <v>0</v>
      </c>
      <c r="G31" s="4" t="n">
        <v>216</v>
      </c>
    </row>
    <row r="32" ht="16" customHeight="1">
      <c r="A32" s="3" t="inlineStr">
        <is>
          <t>Обзор «Гальванические покрытия»</t>
        </is>
      </c>
      <c r="B32" s="4" t="inlineStr">
        <is>
          <t>Хаб</t>
        </is>
      </c>
      <c r="C32" s="3" t="inlineStr">
        <is>
          <t>Хаб «Гальванические покрытия»</t>
        </is>
      </c>
      <c r="D32" s="3" t="inlineStr">
        <is>
          <t>гальванические покрытия</t>
        </is>
      </c>
      <c r="E32" s="13" t="n">
        <v>150</v>
      </c>
      <c r="F32" s="4" t="n">
        <v>0</v>
      </c>
      <c r="G32" s="4" t="n"/>
    </row>
    <row r="33" ht="16" customHeight="1">
      <c r="A33" s="3" t="inlineStr">
        <is>
          <t>Обзор «Гальванические покрытия»</t>
        </is>
      </c>
      <c r="B33" s="4" t="inlineStr">
        <is>
          <t>Хаб</t>
        </is>
      </c>
      <c r="C33" s="3" t="inlineStr">
        <is>
          <t>Хаб «Гальванические покрытия»</t>
        </is>
      </c>
      <c r="D33" s="3" t="inlineStr">
        <is>
          <t>гальваническое покрытие металла</t>
        </is>
      </c>
      <c r="E33" s="13" t="n">
        <v>90</v>
      </c>
      <c r="F33" s="4" t="n">
        <v>0</v>
      </c>
      <c r="G33" s="4" t="n"/>
    </row>
    <row r="34" ht="16" customHeight="1">
      <c r="A34" s="3" t="inlineStr">
        <is>
          <t>Обзор «Гальванические покрытия»</t>
        </is>
      </c>
      <c r="B34" s="4" t="inlineStr">
        <is>
          <t>Хаб</t>
        </is>
      </c>
      <c r="C34" s="3" t="inlineStr">
        <is>
          <t>Хаб «Гальванические покрытия»</t>
        </is>
      </c>
      <c r="D34" s="3" t="inlineStr">
        <is>
          <t>нанесение гальванических покрытий</t>
        </is>
      </c>
      <c r="E34" s="13" t="n">
        <v>80</v>
      </c>
      <c r="F34" s="4" t="n">
        <v>0</v>
      </c>
      <c r="G34" s="4" t="n"/>
    </row>
    <row r="35" ht="16" customHeight="1">
      <c r="A35" s="3" t="inlineStr">
        <is>
          <t>Обзор «Гальванические покрытия»</t>
        </is>
      </c>
      <c r="B35" s="4" t="inlineStr">
        <is>
          <t>Хаб</t>
        </is>
      </c>
      <c r="C35" s="3" t="inlineStr">
        <is>
          <t>Хаб «Гальванические покрытия»</t>
        </is>
      </c>
      <c r="D35" s="3" t="inlineStr">
        <is>
          <t>услуги гальваники</t>
        </is>
      </c>
      <c r="E35" s="13" t="n">
        <v>40</v>
      </c>
      <c r="F35" s="4" t="n">
        <v>0</v>
      </c>
      <c r="G35" s="4" t="n"/>
    </row>
    <row r="36" ht="16" customHeight="1">
      <c r="A36" s="3" t="inlineStr">
        <is>
          <t>Обзор «Гальванические покрытия»</t>
        </is>
      </c>
      <c r="B36" s="4" t="inlineStr">
        <is>
          <t>Хаб</t>
        </is>
      </c>
      <c r="C36" s="3" t="inlineStr">
        <is>
          <t>Хаб «Гальванические покрытия»</t>
        </is>
      </c>
      <c r="D36" s="3" t="inlineStr">
        <is>
          <t>гальваника на заказ</t>
        </is>
      </c>
      <c r="E36" s="13" t="n">
        <v>20</v>
      </c>
      <c r="F36" s="4" t="n"/>
      <c r="G36" s="4" t="n"/>
    </row>
    <row r="37" ht="16" customHeight="1">
      <c r="A37" s="3" t="inlineStr">
        <is>
          <t>Обзор «Гальванические покрытия»</t>
        </is>
      </c>
      <c r="B37" s="4" t="inlineStr">
        <is>
          <t>Хаб</t>
        </is>
      </c>
      <c r="C37" s="3" t="inlineStr">
        <is>
          <t>Хаб «Гальванические покрытия»</t>
        </is>
      </c>
      <c r="D37" s="3" t="inlineStr">
        <is>
          <t>гальваника нижний новгород</t>
        </is>
      </c>
      <c r="E37" s="13" t="n">
        <v>0</v>
      </c>
      <c r="F37" s="4" t="n"/>
      <c r="G37" s="4" t="n"/>
    </row>
    <row r="38" ht="16" customHeight="1">
      <c r="A38" s="3" t="inlineStr">
        <is>
          <t>Шлифовка: продольная и круглая</t>
        </is>
      </c>
      <c r="B38" s="4" t="n">
        <v>27</v>
      </c>
      <c r="C38" s="3" t="inlineStr">
        <is>
          <t>Шлифовка продольная</t>
        </is>
      </c>
      <c r="D38" s="3" t="inlineStr">
        <is>
          <t>шлифовка металла</t>
        </is>
      </c>
      <c r="E38" s="13" t="n">
        <v>250</v>
      </c>
      <c r="F38" s="4" t="n">
        <v>0</v>
      </c>
      <c r="G38" s="4" t="n"/>
    </row>
    <row r="39" ht="16" customHeight="1">
      <c r="A39" s="3" t="inlineStr">
        <is>
          <t>Шлифовка: продольная и круглая</t>
        </is>
      </c>
      <c r="B39" s="4" t="n">
        <v>27</v>
      </c>
      <c r="C39" s="3" t="inlineStr">
        <is>
          <t>Шлифовка продольная</t>
        </is>
      </c>
      <c r="D39" s="3" t="inlineStr">
        <is>
          <t>плоская шлифовка</t>
        </is>
      </c>
      <c r="E39" s="13" t="n">
        <v>30</v>
      </c>
      <c r="F39" s="4" t="n"/>
      <c r="G39" s="4" t="n"/>
    </row>
    <row r="40" ht="16" customHeight="1">
      <c r="A40" s="3" t="inlineStr">
        <is>
          <t>Шлифовка: продольная и круглая</t>
        </is>
      </c>
      <c r="B40" s="4" t="n">
        <v>27</v>
      </c>
      <c r="C40" s="3" t="inlineStr">
        <is>
          <t>Шлифовка продольная</t>
        </is>
      </c>
      <c r="D40" s="3" t="inlineStr">
        <is>
          <t>плоское шлифование</t>
        </is>
      </c>
      <c r="E40" s="13" t="n">
        <v>20</v>
      </c>
      <c r="F40" s="4" t="n"/>
      <c r="G40" s="4" t="n"/>
    </row>
    <row r="41" ht="16" customHeight="1">
      <c r="A41" s="3" t="inlineStr">
        <is>
          <t>Шлифовка: продольная и круглая</t>
        </is>
      </c>
      <c r="B41" s="4" t="n">
        <v>27</v>
      </c>
      <c r="C41" s="3" t="inlineStr">
        <is>
          <t>Шлифовка продольная</t>
        </is>
      </c>
      <c r="D41" s="3" t="inlineStr">
        <is>
          <t>шлифовка металла на заказ</t>
        </is>
      </c>
      <c r="E41" s="13" t="n">
        <v>0</v>
      </c>
      <c r="F41" s="4" t="n"/>
      <c r="G41" s="4" t="n"/>
    </row>
    <row r="42" ht="16" customHeight="1">
      <c r="A42" s="3" t="inlineStr">
        <is>
          <t>Шлифовка: продольная и круглая</t>
        </is>
      </c>
      <c r="B42" s="4" t="n">
        <v>28</v>
      </c>
      <c r="C42" s="3" t="inlineStr">
        <is>
          <t>Шлифовка круглая</t>
        </is>
      </c>
      <c r="D42" s="3" t="inlineStr">
        <is>
          <t>круглая шлифовка</t>
        </is>
      </c>
      <c r="E42" s="13" t="n">
        <v>60</v>
      </c>
      <c r="F42" s="4" t="n">
        <v>0</v>
      </c>
      <c r="G42" s="4" t="n"/>
    </row>
    <row r="43" ht="16" customHeight="1">
      <c r="A43" s="3" t="inlineStr">
        <is>
          <t>Шлифовка: продольная и круглая</t>
        </is>
      </c>
      <c r="B43" s="4" t="n">
        <v>28</v>
      </c>
      <c r="C43" s="3" t="inlineStr">
        <is>
          <t>Шлифовка круглая</t>
        </is>
      </c>
      <c r="D43" s="3" t="inlineStr">
        <is>
          <t>круглое шлифование</t>
        </is>
      </c>
      <c r="E43" s="13" t="n">
        <v>40</v>
      </c>
      <c r="F43" s="4" t="n">
        <v>0</v>
      </c>
      <c r="G43" s="4" t="n"/>
    </row>
    <row r="44" ht="16" customHeight="1">
      <c r="A44" s="3" t="inlineStr">
        <is>
          <t>Шлифовка: продольная и круглая</t>
        </is>
      </c>
      <c r="B44" s="4" t="n">
        <v>28</v>
      </c>
      <c r="C44" s="3" t="inlineStr">
        <is>
          <t>Шлифовка круглая</t>
        </is>
      </c>
      <c r="D44" s="3" t="inlineStr">
        <is>
          <t>круглошлифовальные работы</t>
        </is>
      </c>
      <c r="E44" s="13" t="n">
        <v>20</v>
      </c>
      <c r="F44" s="4" t="n"/>
      <c r="G44" s="4" t="n"/>
    </row>
    <row r="45" ht="16" customHeight="1">
      <c r="A45" s="3" t="inlineStr">
        <is>
          <t>Шлифовка: продольная и круглая</t>
        </is>
      </c>
      <c r="B45" s="4" t="inlineStr">
        <is>
          <t>смежный</t>
        </is>
      </c>
      <c r="C45" s="3" t="inlineStr">
        <is>
          <t>Уже есть: /uslugi/shlifovanie/</t>
        </is>
      </c>
      <c r="D45" s="3" t="inlineStr">
        <is>
          <t>шлифовка нержавейки</t>
        </is>
      </c>
      <c r="E45" s="13" t="n">
        <v>70</v>
      </c>
      <c r="F45" s="4" t="n">
        <v>0</v>
      </c>
      <c r="G45" s="4" t="n">
        <v>65</v>
      </c>
    </row>
  </sheetData>
  <autoFilter ref="A1:G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Позиция</t>
        </is>
      </c>
      <c r="D1" s="1" t="inlineStr">
        <is>
          <t>Тип сайта конкурента</t>
        </is>
      </c>
      <c r="E1" s="1" t="inlineStr">
        <is>
          <t>Сайт</t>
        </is>
      </c>
      <c r="F1" s="1" t="inlineStr">
        <is>
          <t>Страница в выдаче</t>
        </is>
      </c>
    </row>
    <row r="2" ht="16" customHeight="1">
      <c r="A2" s="3" t="inlineStr">
        <is>
          <t>Лазерная резка (упор на нержавейку)</t>
        </is>
      </c>
      <c r="B2" s="3" t="inlineStr">
        <is>
          <t>лазерная резка нержавейки</t>
        </is>
      </c>
      <c r="C2" s="4" t="n">
        <v>2</v>
      </c>
      <c r="D2" s="14" t="inlineStr">
        <is>
          <t>Средний сайт</t>
        </is>
      </c>
      <c r="E2" s="15" t="inlineStr">
        <is>
          <t>gravernu.ru</t>
        </is>
      </c>
      <c r="F2" s="15" t="inlineStr">
        <is>
          <t>https://gravernu.ru/obrabotka-materialov/lazernaya-rezka/lazernaya-rezka-metallov/rezka-nerzhaveyushhej-stali</t>
        </is>
      </c>
    </row>
    <row r="3" ht="16" customHeight="1">
      <c r="A3" s="3" t="inlineStr">
        <is>
          <t>Лазерная резка (упор на нержавейку)</t>
        </is>
      </c>
      <c r="B3" s="3" t="inlineStr">
        <is>
          <t>лазерная резка нержавейки</t>
        </is>
      </c>
      <c r="C3" s="4" t="n">
        <v>3</v>
      </c>
      <c r="D3" s="14" t="inlineStr">
        <is>
          <t>Средний сайт</t>
        </is>
      </c>
      <c r="E3" s="15" t="inlineStr">
        <is>
          <t>promexcut.ru</t>
        </is>
      </c>
      <c r="F3" s="15" t="inlineStr">
        <is>
          <t>https://promexcut.ru/lazernaya-rezka/nerzhavejushhaya-stal</t>
        </is>
      </c>
    </row>
    <row r="4" ht="16" customHeight="1">
      <c r="A4" s="3" t="inlineStr">
        <is>
          <t>Лазерная резка (упор на нержавейку)</t>
        </is>
      </c>
      <c r="B4" s="3" t="inlineStr">
        <is>
          <t>лазерная резка нержавейки</t>
        </is>
      </c>
      <c r="C4" s="4" t="n">
        <v>4</v>
      </c>
      <c r="D4" s="16" t="inlineStr">
        <is>
          <t>Большой сайт</t>
        </is>
      </c>
      <c r="E4" s="15" t="inlineStr">
        <is>
          <t>vt-metall.ru</t>
        </is>
      </c>
      <c r="F4" s="15" t="inlineStr">
        <is>
          <t>https://vt-metall.ru/articles/138-rezka-nerzhaveiki-laserom/</t>
        </is>
      </c>
    </row>
    <row r="5" ht="16" customHeight="1">
      <c r="A5" s="3" t="inlineStr">
        <is>
          <t>Лазерная резка (упор на нержавейку)</t>
        </is>
      </c>
      <c r="B5" s="3" t="inlineStr">
        <is>
          <t>лазерная резка нержавейки</t>
        </is>
      </c>
      <c r="C5" s="4" t="n">
        <v>6</v>
      </c>
      <c r="D5" s="14" t="inlineStr">
        <is>
          <t>Средний сайт</t>
        </is>
      </c>
      <c r="E5" s="15" t="inlineStr">
        <is>
          <t>semtreugolnikov.ru</t>
        </is>
      </c>
      <c r="F5" s="15" t="inlineStr">
        <is>
          <t>https://semtreugolnikov.ru/rezka-nerzhaveyushchej-stali</t>
        </is>
      </c>
    </row>
    <row r="6" ht="16" customHeight="1">
      <c r="A6" s="3" t="inlineStr">
        <is>
          <t>Лазерная резка (упор на нержавейку)</t>
        </is>
      </c>
      <c r="B6" s="3" t="inlineStr">
        <is>
          <t>лазерная резка нержавейки</t>
        </is>
      </c>
      <c r="C6" s="4" t="n">
        <v>7</v>
      </c>
      <c r="D6" s="17" t="inlineStr">
        <is>
          <t>Мини-сайт</t>
        </is>
      </c>
      <c r="E6" s="15" t="inlineStr">
        <is>
          <t>perfosteel.ru</t>
        </is>
      </c>
      <c r="F6" s="15" t="inlineStr">
        <is>
          <t>https://perfosteel.ru/services/lazernaya-rezka-listovogo-metalla/nerzhaveyushhej-stali/</t>
        </is>
      </c>
    </row>
    <row r="7" ht="16" customHeight="1">
      <c r="A7" s="3" t="inlineStr">
        <is>
          <t>Лазерная резка (упор на нержавейку)</t>
        </is>
      </c>
      <c r="B7" s="3" t="inlineStr">
        <is>
          <t>лазерная резка нержавейки</t>
        </is>
      </c>
      <c r="C7" s="4" t="n">
        <v>8</v>
      </c>
      <c r="D7" s="14" t="inlineStr">
        <is>
          <t>Средний сайт</t>
        </is>
      </c>
      <c r="E7" s="15" t="inlineStr">
        <is>
          <t>premier-laser.ru</t>
        </is>
      </c>
      <c r="F7" s="15" t="inlineStr">
        <is>
          <t>https://premier-laser.ru/lazernaya-rezka-nerzhaveyki/</t>
        </is>
      </c>
    </row>
    <row r="8" ht="16" customHeight="1">
      <c r="A8" s="3" t="inlineStr">
        <is>
          <t>Лазерная резка (упор на нержавейку)</t>
        </is>
      </c>
      <c r="B8" s="3" t="inlineStr">
        <is>
          <t>лазерная резка нержавейки</t>
        </is>
      </c>
      <c r="C8" s="4" t="n">
        <v>9</v>
      </c>
      <c r="D8" s="14" t="inlineStr">
        <is>
          <t>Средний сайт</t>
        </is>
      </c>
      <c r="E8" s="15" t="inlineStr">
        <is>
          <t>metall-24.ru</t>
        </is>
      </c>
      <c r="F8" s="15" t="inlineStr">
        <is>
          <t>https://metall-24.ru/services/rezka-nerzhaveyki/</t>
        </is>
      </c>
    </row>
    <row r="9" ht="16" customHeight="1">
      <c r="A9" s="3" t="inlineStr">
        <is>
          <t>Лазерная резка (упор на нержавейку)</t>
        </is>
      </c>
      <c r="B9" s="3" t="inlineStr">
        <is>
          <t>лазерная резка нержавейки</t>
        </is>
      </c>
      <c r="C9" s="4" t="n">
        <v>10</v>
      </c>
      <c r="D9" s="17" t="inlineStr">
        <is>
          <t>Мини-сайт</t>
        </is>
      </c>
      <c r="E9" s="15" t="inlineStr">
        <is>
          <t>plazma-spb.ru</t>
        </is>
      </c>
      <c r="F9" s="15" t="inlineStr">
        <is>
          <t>https://plazma-spb.ru/lazernaja-rezka-nerjaveuchey-stali/</t>
        </is>
      </c>
    </row>
    <row r="10" ht="16" customHeight="1">
      <c r="A10" s="3" t="inlineStr">
        <is>
          <t>Лазерная резка (упор на нержавейку)</t>
        </is>
      </c>
      <c r="B10" s="3" t="inlineStr">
        <is>
          <t>лазерная резка металла</t>
        </is>
      </c>
      <c r="C10" s="4" t="n">
        <v>2</v>
      </c>
      <c r="D10" s="16" t="inlineStr">
        <is>
          <t>Большой сайт</t>
        </is>
      </c>
      <c r="E10" s="15" t="inlineStr">
        <is>
          <t>lasercut.ru</t>
        </is>
      </c>
      <c r="F10" s="15" t="inlineStr">
        <is>
          <t>https://lasercut.ru/Каталог/Станки</t>
        </is>
      </c>
    </row>
    <row r="11" ht="16" customHeight="1">
      <c r="A11" s="3" t="inlineStr">
        <is>
          <t>Лазерная резка (упор на нержавейку)</t>
        </is>
      </c>
      <c r="B11" s="3" t="inlineStr">
        <is>
          <t>лазерная резка металла</t>
        </is>
      </c>
      <c r="C11" s="4" t="n">
        <v>3</v>
      </c>
      <c r="D11" s="18" t="inlineStr">
        <is>
          <t>Портал / форум / вики</t>
        </is>
      </c>
      <c r="E11" s="15" t="inlineStr">
        <is>
          <t>ozon.ru</t>
        </is>
      </c>
      <c r="F11" s="15" t="inlineStr">
        <is>
          <t>https://www.ozon.ru/lazernaya-rezka-metalla-stanok</t>
        </is>
      </c>
    </row>
    <row r="12" ht="16" customHeight="1">
      <c r="A12" s="3" t="inlineStr">
        <is>
          <t>Лазерная резка (упор на нержавейку)</t>
        </is>
      </c>
      <c r="B12" s="3" t="inlineStr">
        <is>
          <t>лазерная резка металла</t>
        </is>
      </c>
      <c r="C12" s="4" t="n">
        <v>5</v>
      </c>
      <c r="D12" s="14" t="inlineStr">
        <is>
          <t>Средний сайт</t>
        </is>
      </c>
      <c r="E12" s="15" t="inlineStr">
        <is>
          <t>uptk65.ru</t>
        </is>
      </c>
      <c r="F12" s="15" t="inlineStr">
        <is>
          <t>https://uptk65.ru/blog/chto-takoe-lazernaya-rezka</t>
        </is>
      </c>
    </row>
    <row r="13" ht="16" customHeight="1">
      <c r="A13" s="3" t="inlineStr">
        <is>
          <t>Лазерная резка (упор на нержавейку)</t>
        </is>
      </c>
      <c r="B13" s="3" t="inlineStr">
        <is>
          <t>лазерная резка металла</t>
        </is>
      </c>
      <c r="C13" s="4" t="n">
        <v>6</v>
      </c>
      <c r="D13" s="14" t="inlineStr">
        <is>
          <t>Средний сайт</t>
        </is>
      </c>
      <c r="E13" s="15" t="inlineStr">
        <is>
          <t>mc24.ru</t>
        </is>
      </c>
      <c r="F13" s="15" t="inlineStr">
        <is>
          <t>https://mc24.ru/figurnaya-i-khudozhestvennaya</t>
        </is>
      </c>
    </row>
    <row r="14" ht="16" customHeight="1">
      <c r="A14" s="3" t="inlineStr">
        <is>
          <t>Лазерная резка (упор на нержавейку)</t>
        </is>
      </c>
      <c r="B14" s="3" t="inlineStr">
        <is>
          <t>лазерная резка металла</t>
        </is>
      </c>
      <c r="C14" s="4" t="n">
        <v>7</v>
      </c>
      <c r="D14" s="14" t="inlineStr">
        <is>
          <t>Средний сайт</t>
        </is>
      </c>
      <c r="E14" s="15" t="inlineStr">
        <is>
          <t>premier-laser.ru</t>
        </is>
      </c>
      <c r="F14" s="15" t="inlineStr">
        <is>
          <t>https://premier-laser.ru/Блог</t>
        </is>
      </c>
    </row>
    <row r="15" ht="16" customHeight="1">
      <c r="A15" s="3" t="inlineStr">
        <is>
          <t>Лазерная резка (упор на нержавейку)</t>
        </is>
      </c>
      <c r="B15" s="3" t="inlineStr">
        <is>
          <t>лазерная резка металла</t>
        </is>
      </c>
      <c r="C15" s="4" t="n">
        <v>8</v>
      </c>
      <c r="D15" s="18" t="inlineStr">
        <is>
          <t>Портал / форум / вики</t>
        </is>
      </c>
      <c r="E15" s="15" t="inlineStr">
        <is>
          <t>ru.wikipedia.org</t>
        </is>
      </c>
      <c r="F15" s="15" t="inlineStr">
        <is>
          <t>https://ru.wikipedia.org/wiki/Лазерная_резка</t>
        </is>
      </c>
    </row>
    <row r="16" ht="16" customHeight="1">
      <c r="A16" s="3" t="inlineStr">
        <is>
          <t>Лазерная резка (упор на нержавейку)</t>
        </is>
      </c>
      <c r="B16" s="3" t="inlineStr">
        <is>
          <t>лазерная резка металла</t>
        </is>
      </c>
      <c r="C16" s="4" t="n">
        <v>9</v>
      </c>
      <c r="D16" s="14" t="inlineStr">
        <is>
          <t>Средний сайт</t>
        </is>
      </c>
      <c r="E16" s="15" t="inlineStr">
        <is>
          <t>altesa.ru</t>
        </is>
      </c>
      <c r="F16" s="15" t="inlineStr">
        <is>
          <t>https://altesa.ru/Каталог</t>
        </is>
      </c>
    </row>
    <row r="17" ht="16" customHeight="1">
      <c r="A17" s="3" t="inlineStr">
        <is>
          <t>Лазерная резка (упор на нержавейку)</t>
        </is>
      </c>
      <c r="B17" s="3" t="inlineStr">
        <is>
          <t>лазерная резка металла</t>
        </is>
      </c>
      <c r="C17" s="4" t="n">
        <v>10</v>
      </c>
      <c r="D17" s="17" t="inlineStr">
        <is>
          <t>Мини-сайт</t>
        </is>
      </c>
      <c r="E17" s="15" t="inlineStr">
        <is>
          <t>antaeus.ru</t>
        </is>
      </c>
      <c r="F17" s="15" t="inlineStr">
        <is>
          <t>https://www.antaeus.ru/Статьи</t>
        </is>
      </c>
    </row>
    <row r="18" ht="16" customHeight="1">
      <c r="A18" s="3" t="inlineStr">
        <is>
          <t>Травление и пассивация нержавейки</t>
        </is>
      </c>
      <c r="B18" s="3" t="inlineStr">
        <is>
          <t>пассивация нержавейки</t>
        </is>
      </c>
      <c r="C18" s="4" t="n">
        <v>2</v>
      </c>
      <c r="D18" s="14" t="inlineStr">
        <is>
          <t>Средний сайт</t>
        </is>
      </c>
      <c r="E18" s="15" t="inlineStr">
        <is>
          <t>pharmawater.ru</t>
        </is>
      </c>
      <c r="F18" s="15" t="inlineStr">
        <is>
          <t>https://pharmawater.ru/about/stati/passivaciya-nerzhaveyushchej-stali/</t>
        </is>
      </c>
    </row>
    <row r="19" ht="16" customHeight="1">
      <c r="A19" s="3" t="inlineStr">
        <is>
          <t>Травление и пассивация нержавейки</t>
        </is>
      </c>
      <c r="B19" s="3" t="inlineStr">
        <is>
          <t>пассивация нержавейки</t>
        </is>
      </c>
      <c r="C19" s="4" t="n">
        <v>4</v>
      </c>
      <c r="D19" s="18" t="inlineStr">
        <is>
          <t>Портал / форум / вики</t>
        </is>
      </c>
      <c r="E19" s="15" t="inlineStr">
        <is>
          <t>morvesti.ru</t>
        </is>
      </c>
      <c r="F19" s="15" t="inlineStr">
        <is>
          <t>https://morvesti.ru/analitika/1685/81153/</t>
        </is>
      </c>
    </row>
    <row r="20" ht="16" customHeight="1">
      <c r="A20" s="3" t="inlineStr">
        <is>
          <t>Травление и пассивация нержавейки</t>
        </is>
      </c>
      <c r="B20" s="3" t="inlineStr">
        <is>
          <t>пассивация нержавейки</t>
        </is>
      </c>
      <c r="C20" s="4" t="n">
        <v>5</v>
      </c>
      <c r="D20" s="18" t="inlineStr">
        <is>
          <t>Портал / форум / вики</t>
        </is>
      </c>
      <c r="E20" s="15" t="inlineStr">
        <is>
          <t>chipmaker.ru</t>
        </is>
      </c>
      <c r="F20" s="15" t="inlineStr">
        <is>
          <t>https://www.chipmaker.ru/topic/57138/</t>
        </is>
      </c>
    </row>
    <row r="21" ht="16" customHeight="1">
      <c r="A21" s="3" t="inlineStr">
        <is>
          <t>Травление и пассивация нержавейки</t>
        </is>
      </c>
      <c r="B21" s="3" t="inlineStr">
        <is>
          <t>пассивация нержавейки</t>
        </is>
      </c>
      <c r="C21" s="4" t="n">
        <v>6</v>
      </c>
      <c r="D21" s="17" t="inlineStr">
        <is>
          <t>Мини-сайт</t>
        </is>
      </c>
      <c r="E21" s="15" t="inlineStr">
        <is>
          <t>runwillpools.ru</t>
        </is>
      </c>
      <c r="F21" s="15" t="inlineStr">
        <is>
          <t>https://runwillpools.ru/news/elektrokhimicheskaya_passivatsiya_nerzhaveyushchey_stali/</t>
        </is>
      </c>
    </row>
    <row r="22" ht="16" customHeight="1">
      <c r="A22" s="3" t="inlineStr">
        <is>
          <t>Травление и пассивация нержавейки</t>
        </is>
      </c>
      <c r="B22" s="3" t="inlineStr">
        <is>
          <t>пассивация нержавейки</t>
        </is>
      </c>
      <c r="C22" s="4" t="n">
        <v>7</v>
      </c>
      <c r="D22" s="17" t="inlineStr">
        <is>
          <t>Мини-сайт</t>
        </is>
      </c>
      <c r="E22" s="15" t="inlineStr">
        <is>
          <t>cip-system.ru</t>
        </is>
      </c>
      <c r="F22" s="15" t="inlineStr">
        <is>
          <t>https://cip-system.ru/stati/ochistka-i-passivaciya-svarnyh-shvov</t>
        </is>
      </c>
    </row>
    <row r="23" ht="16" customHeight="1">
      <c r="A23" s="3" t="inlineStr">
        <is>
          <t>Травление и пассивация нержавейки</t>
        </is>
      </c>
      <c r="B23" s="3" t="inlineStr">
        <is>
          <t>пассивация нержавейки</t>
        </is>
      </c>
      <c r="C23" s="4" t="n">
        <v>8</v>
      </c>
      <c r="D23" s="14" t="inlineStr">
        <is>
          <t>Средний сайт</t>
        </is>
      </c>
      <c r="E23" s="15" t="inlineStr">
        <is>
          <t>zctc.ru</t>
        </is>
      </c>
      <c r="F23" s="15" t="inlineStr">
        <is>
          <t>https://zctc.ru/products/passivaciya_nerjavejushej_stali</t>
        </is>
      </c>
    </row>
    <row r="24" ht="16" customHeight="1">
      <c r="A24" s="3" t="inlineStr">
        <is>
          <t>Травление и пассивация нержавейки</t>
        </is>
      </c>
      <c r="B24" s="3" t="inlineStr">
        <is>
          <t>пассивация нержавейки</t>
        </is>
      </c>
      <c r="C24" s="4" t="n">
        <v>9</v>
      </c>
      <c r="D24" s="16" t="inlineStr">
        <is>
          <t>Большой сайт</t>
        </is>
      </c>
      <c r="E24" s="15" t="inlineStr">
        <is>
          <t>stankoff.ru</t>
        </is>
      </c>
      <c r="F24" s="15" t="inlineStr">
        <is>
          <t>https://www.stankoff.ru/blog/post/782</t>
        </is>
      </c>
    </row>
    <row r="25" ht="16" customHeight="1">
      <c r="A25" s="3" t="inlineStr">
        <is>
          <t>Травление и пассивация нержавейки</t>
        </is>
      </c>
      <c r="B25" s="3" t="inlineStr">
        <is>
          <t>пассивация нержавейки</t>
        </is>
      </c>
      <c r="C25" s="4" t="n">
        <v>10</v>
      </c>
      <c r="D25" s="16" t="inlineStr">
        <is>
          <t>Большой сайт</t>
        </is>
      </c>
      <c r="E25" s="15" t="inlineStr">
        <is>
          <t>inner.su</t>
        </is>
      </c>
      <c r="F25" s="15" t="inlineStr">
        <is>
          <t>https://inner.su/articles/passivatsiya-nerzhaveyki-eto/</t>
        </is>
      </c>
    </row>
    <row r="26" ht="16" customHeight="1">
      <c r="A26" s="3" t="inlineStr">
        <is>
          <t>Травление и пассивация нержавейки</t>
        </is>
      </c>
      <c r="B26" s="3" t="inlineStr">
        <is>
          <t>травление нержавеющей стали</t>
        </is>
      </c>
      <c r="C26" s="4" t="n">
        <v>2</v>
      </c>
      <c r="D26" s="17" t="inlineStr">
        <is>
          <t>Мини-сайт</t>
        </is>
      </c>
      <c r="E26" s="15" t="inlineStr">
        <is>
          <t>stankiexpert.ru</t>
        </is>
      </c>
      <c r="F26" s="15" t="inlineStr">
        <is>
          <t>https://stankiexpert.ru/spravochnik/materialovedenie/travlenie-nerzhaveyushhejj-stali.html</t>
        </is>
      </c>
    </row>
    <row r="27" ht="16" customHeight="1">
      <c r="A27" s="3" t="inlineStr">
        <is>
          <t>Травление и пассивация нержавейки</t>
        </is>
      </c>
      <c r="B27" s="3" t="inlineStr">
        <is>
          <t>травление нержавеющей стали</t>
        </is>
      </c>
      <c r="C27" s="4" t="n">
        <v>3</v>
      </c>
      <c r="D27" s="17" t="inlineStr">
        <is>
          <t>Мини-сайт</t>
        </is>
      </c>
      <c r="E27" s="15" t="inlineStr">
        <is>
          <t>solidiron.ru</t>
        </is>
      </c>
      <c r="F27" s="15" t="inlineStr">
        <is>
          <t>https://solidiron.ru/steel/travlenie-nerzhaveyushhejj-stali-pokazaniya-metody-travleniya.html</t>
        </is>
      </c>
    </row>
    <row r="28" ht="16" customHeight="1">
      <c r="A28" s="3" t="inlineStr">
        <is>
          <t>Травление и пассивация нержавейки</t>
        </is>
      </c>
      <c r="B28" s="3" t="inlineStr">
        <is>
          <t>травление нержавеющей стали</t>
        </is>
      </c>
      <c r="C28" s="4" t="n">
        <v>4</v>
      </c>
      <c r="D28" s="17" t="inlineStr">
        <is>
          <t>Мини-сайт</t>
        </is>
      </c>
      <c r="E28" s="15" t="inlineStr">
        <is>
          <t>vtorexpo.ru</t>
        </is>
      </c>
      <c r="F28" s="15" t="inlineStr">
        <is>
          <t>https://vtorexpo.ru/galvanika/travlenie-nerzhaveyushhej-stali-na-domu.html</t>
        </is>
      </c>
    </row>
    <row r="29" ht="16" customHeight="1">
      <c r="A29" s="3" t="inlineStr">
        <is>
          <t>Травление и пассивация нержавейки</t>
        </is>
      </c>
      <c r="B29" s="3" t="inlineStr">
        <is>
          <t>травление нержавеющей стали</t>
        </is>
      </c>
      <c r="C29" s="4" t="n">
        <v>5</v>
      </c>
      <c r="D29" s="17" t="inlineStr">
        <is>
          <t>Мини-сайт</t>
        </is>
      </c>
      <c r="E29" s="15" t="inlineStr">
        <is>
          <t>stalevarim.ru</t>
        </is>
      </c>
      <c r="F29" s="15" t="inlineStr">
        <is>
          <t>http://stalevarim.ru/pub/travlenie-nerzhaveuschih-staley/</t>
        </is>
      </c>
    </row>
    <row r="30" ht="16" customHeight="1">
      <c r="A30" s="3" t="inlineStr">
        <is>
          <t>Травление и пассивация нержавейки</t>
        </is>
      </c>
      <c r="B30" s="3" t="inlineStr">
        <is>
          <t>травление нержавеющей стали</t>
        </is>
      </c>
      <c r="C30" s="4" t="n">
        <v>7</v>
      </c>
      <c r="D30" s="17" t="inlineStr">
        <is>
          <t>Мини-сайт</t>
        </is>
      </c>
      <c r="E30" s="15" t="inlineStr">
        <is>
          <t>met-all.org</t>
        </is>
      </c>
      <c r="F30" s="15" t="inlineStr">
        <is>
          <t>http://met-all.org/stal/obrabotka-nerzhaveyushhej-stali-travlenie-shlifovanie-satinirovanie.html</t>
        </is>
      </c>
    </row>
    <row r="31" ht="16" customHeight="1">
      <c r="A31" s="3" t="inlineStr">
        <is>
          <t>Травление и пассивация нержавейки</t>
        </is>
      </c>
      <c r="B31" s="3" t="inlineStr">
        <is>
          <t>травление нержавеющей стали</t>
        </is>
      </c>
      <c r="C31" s="4" t="n">
        <v>8</v>
      </c>
      <c r="D31" s="17" t="inlineStr">
        <is>
          <t>Мини-сайт</t>
        </is>
      </c>
      <c r="E31" s="15" t="inlineStr">
        <is>
          <t>instanko.ru</t>
        </is>
      </c>
      <c r="F31" s="15" t="inlineStr">
        <is>
          <t>https://instanko.ru/drugoe/travlenie-nerzhavejki.html</t>
        </is>
      </c>
    </row>
    <row r="32" ht="16" customHeight="1">
      <c r="A32" s="3" t="inlineStr">
        <is>
          <t>Травление и пассивация нержавейки</t>
        </is>
      </c>
      <c r="B32" s="3" t="inlineStr">
        <is>
          <t>травление нержавеющей стали</t>
        </is>
      </c>
      <c r="C32" s="4" t="n">
        <v>9</v>
      </c>
      <c r="D32" s="17" t="inlineStr">
        <is>
          <t>Мини-сайт</t>
        </is>
      </c>
      <c r="E32" s="15" t="inlineStr">
        <is>
          <t>steelfactoryrus.com</t>
        </is>
      </c>
      <c r="F32" s="15" t="inlineStr">
        <is>
          <t>https://steelfactoryrus.com/travlenie-nerzhaveyuschey-stali-v-domashnih-usloviyah/</t>
        </is>
      </c>
    </row>
    <row r="33" ht="16" customHeight="1">
      <c r="A33" s="3" t="inlineStr">
        <is>
          <t>Травление и пассивация нержавейки</t>
        </is>
      </c>
      <c r="B33" s="3" t="inlineStr">
        <is>
          <t>травление нержавеющей стали</t>
        </is>
      </c>
      <c r="C33" s="4" t="n">
        <v>10</v>
      </c>
      <c r="D33" s="16" t="inlineStr">
        <is>
          <t>Большой сайт</t>
        </is>
      </c>
      <c r="E33" s="15" t="inlineStr">
        <is>
          <t>chem21.info</t>
        </is>
      </c>
      <c r="F33" s="15" t="inlineStr">
        <is>
          <t>https://www.chem21.info/info/945115/</t>
        </is>
      </c>
    </row>
    <row r="34" ht="16" customHeight="1">
      <c r="A34" s="3" t="inlineStr">
        <is>
          <t>Гидроабразивная резка</t>
        </is>
      </c>
      <c r="B34" s="3" t="inlineStr">
        <is>
          <t>гидроабразивная резка металла</t>
        </is>
      </c>
      <c r="C34" s="4" t="n">
        <v>2</v>
      </c>
      <c r="D34" s="17" t="inlineStr">
        <is>
          <t>Мини-сайт</t>
        </is>
      </c>
      <c r="E34" s="15" t="inlineStr">
        <is>
          <t>kit-cut.ru</t>
        </is>
      </c>
      <c r="F34" s="15" t="inlineStr">
        <is>
          <t>https://kit-cut.ru/</t>
        </is>
      </c>
    </row>
    <row r="35" ht="16" customHeight="1">
      <c r="A35" s="3" t="inlineStr">
        <is>
          <t>Гидроабразивная резка</t>
        </is>
      </c>
      <c r="B35" s="3" t="inlineStr">
        <is>
          <t>гидроабразивная резка металла</t>
        </is>
      </c>
      <c r="C35" s="4" t="n">
        <v>3</v>
      </c>
      <c r="D35" s="17" t="inlineStr">
        <is>
          <t>Мини-сайт</t>
        </is>
      </c>
      <c r="E35" s="15" t="inlineStr">
        <is>
          <t>shtorm.ru</t>
        </is>
      </c>
      <c r="F35" s="15" t="inlineStr">
        <is>
          <t>https://shtorm.ru/info/articles/tekhnologiya-gidroabrazivnoy-rezki-/</t>
        </is>
      </c>
    </row>
    <row r="36" ht="16" customHeight="1">
      <c r="A36" s="3" t="inlineStr">
        <is>
          <t>Гидроабразивная резка</t>
        </is>
      </c>
      <c r="B36" s="3" t="inlineStr">
        <is>
          <t>гидроабразивная резка металла</t>
        </is>
      </c>
      <c r="C36" s="4" t="n">
        <v>4</v>
      </c>
      <c r="D36" s="18" t="inlineStr">
        <is>
          <t>Портал / форум / вики</t>
        </is>
      </c>
      <c r="E36" s="15" t="inlineStr">
        <is>
          <t>ru.wikipedia.org</t>
        </is>
      </c>
      <c r="F36" s="15" t="inlineStr">
        <is>
          <t>https://ru.wikipedia.org/wiki/Гидроабразивная_резка</t>
        </is>
      </c>
    </row>
    <row r="37" ht="16" customHeight="1">
      <c r="A37" s="3" t="inlineStr">
        <is>
          <t>Гидроабразивная резка</t>
        </is>
      </c>
      <c r="B37" s="3" t="inlineStr">
        <is>
          <t>гидроабразивная резка металла</t>
        </is>
      </c>
      <c r="C37" s="4" t="n">
        <v>6</v>
      </c>
      <c r="D37" s="14" t="inlineStr">
        <is>
          <t>Средний сайт</t>
        </is>
      </c>
      <c r="E37" s="15" t="inlineStr">
        <is>
          <t>utk-steel.ru</t>
        </is>
      </c>
      <c r="F37" s="15" t="inlineStr">
        <is>
          <t>https://utk-steel.ru/services/rezka/gidroabrazivnaya-rezka/</t>
        </is>
      </c>
    </row>
    <row r="38" ht="16" customHeight="1">
      <c r="A38" s="3" t="inlineStr">
        <is>
          <t>Гидроабразивная резка</t>
        </is>
      </c>
      <c r="B38" s="3" t="inlineStr">
        <is>
          <t>гидроабразивная резка металла</t>
        </is>
      </c>
      <c r="C38" s="4" t="n">
        <v>7</v>
      </c>
      <c r="D38" s="16" t="inlineStr">
        <is>
          <t>Большой сайт</t>
        </is>
      </c>
      <c r="E38" s="15" t="inlineStr">
        <is>
          <t>stankoff.ru</t>
        </is>
      </c>
      <c r="F38" s="15" t="inlineStr">
        <is>
          <t>https://www.stankoff.ru/blog/post/690</t>
        </is>
      </c>
    </row>
    <row r="39" ht="16" customHeight="1">
      <c r="A39" s="3" t="inlineStr">
        <is>
          <t>Гидроабразивная резка</t>
        </is>
      </c>
      <c r="B39" s="3" t="inlineStr">
        <is>
          <t>гидроабразивная резка металла</t>
        </is>
      </c>
      <c r="C39" s="4" t="n">
        <v>8</v>
      </c>
      <c r="D39" s="17" t="inlineStr">
        <is>
          <t>Мини-сайт</t>
        </is>
      </c>
      <c r="E39" s="15" t="inlineStr">
        <is>
          <t>listmet.ru</t>
        </is>
      </c>
      <c r="F39" s="15" t="inlineStr">
        <is>
          <t>https://listmet.ru/services/production/</t>
        </is>
      </c>
    </row>
    <row r="40" ht="16" customHeight="1">
      <c r="A40" s="3" t="inlineStr">
        <is>
          <t>Гидроабразивная резка</t>
        </is>
      </c>
      <c r="B40" s="3" t="inlineStr">
        <is>
          <t>гидроабразивная резка металла</t>
        </is>
      </c>
      <c r="C40" s="4" t="n">
        <v>9</v>
      </c>
      <c r="D40" s="14" t="inlineStr">
        <is>
          <t>Средний сайт</t>
        </is>
      </c>
      <c r="E40" s="15" t="inlineStr">
        <is>
          <t>laserstore.ru</t>
        </is>
      </c>
      <c r="F40" s="15" t="inlineStr">
        <is>
          <t>https://laserstore.ru/blog/gidroabrazivnaya-rezka/</t>
        </is>
      </c>
    </row>
    <row r="41" ht="16" customHeight="1">
      <c r="A41" s="3" t="inlineStr">
        <is>
          <t>Гидроабразивная резка</t>
        </is>
      </c>
      <c r="B41" s="3" t="inlineStr">
        <is>
          <t>гидроабразивная резка металла</t>
        </is>
      </c>
      <c r="C41" s="4" t="n">
        <v>10</v>
      </c>
      <c r="D41" s="14" t="inlineStr">
        <is>
          <t>Средний сайт</t>
        </is>
      </c>
      <c r="E41" s="15" t="inlineStr">
        <is>
          <t>promexcut.ru</t>
        </is>
      </c>
      <c r="F41" s="15" t="inlineStr">
        <is>
          <t>https://promexcut.ru/gidroabrazivnaya-rezka</t>
        </is>
      </c>
    </row>
    <row r="42" ht="16" customHeight="1">
      <c r="A42" s="3" t="inlineStr">
        <is>
          <t>Электрохимическая полировка нержавейки</t>
        </is>
      </c>
      <c r="B42" s="3" t="inlineStr">
        <is>
          <t>электрохимическая полировка</t>
        </is>
      </c>
      <c r="C42" s="4" t="n">
        <v>2</v>
      </c>
      <c r="D42" s="18" t="inlineStr">
        <is>
          <t>Портал / форум / вики</t>
        </is>
      </c>
      <c r="E42" s="15" t="inlineStr">
        <is>
          <t>habr.com</t>
        </is>
      </c>
      <c r="F42" s="15" t="inlineStr">
        <is>
          <t>https://habr.com/ru/companies/ruvds/articles/910370/</t>
        </is>
      </c>
    </row>
    <row r="43" ht="16" customHeight="1">
      <c r="A43" s="3" t="inlineStr">
        <is>
          <t>Электрохимическая полировка нержавейки</t>
        </is>
      </c>
      <c r="B43" s="3" t="inlineStr">
        <is>
          <t>электрохимическая полировка</t>
        </is>
      </c>
      <c r="C43" s="4" t="n">
        <v>3</v>
      </c>
      <c r="D43" s="17" t="inlineStr">
        <is>
          <t>Мини-сайт</t>
        </is>
      </c>
      <c r="E43" s="15" t="inlineStr">
        <is>
          <t>platings.ru</t>
        </is>
      </c>
      <c r="F43" s="15" t="inlineStr">
        <is>
          <t>https://platings.ru/polish_ssteel</t>
        </is>
      </c>
    </row>
    <row r="44" ht="16" customHeight="1">
      <c r="A44" s="3" t="inlineStr">
        <is>
          <t>Электрохимическая полировка нержавейки</t>
        </is>
      </c>
      <c r="B44" s="3" t="inlineStr">
        <is>
          <t>электрохимическая полировка</t>
        </is>
      </c>
      <c r="C44" s="4" t="n">
        <v>5</v>
      </c>
      <c r="D44" s="17" t="inlineStr">
        <is>
          <t>Мини-сайт</t>
        </is>
      </c>
      <c r="E44" s="15" t="inlineStr">
        <is>
          <t>vladresurs.ru</t>
        </is>
      </c>
      <c r="F44" s="15" t="inlineStr">
        <is>
          <t>https://vladresurs.ru/elektrohimicheskaya-polirovka-stali</t>
        </is>
      </c>
    </row>
    <row r="45" ht="16" customHeight="1">
      <c r="A45" s="3" t="inlineStr">
        <is>
          <t>Электрохимическая полировка нержавейки</t>
        </is>
      </c>
      <c r="B45" s="3" t="inlineStr">
        <is>
          <t>электрохимическая полировка</t>
        </is>
      </c>
      <c r="C45" s="4" t="n">
        <v>6</v>
      </c>
      <c r="D45" s="14" t="inlineStr">
        <is>
          <t>Средний сайт</t>
        </is>
      </c>
      <c r="E45" s="15" t="inlineStr">
        <is>
          <t>ooomedikon.ru</t>
        </is>
      </c>
      <c r="F45" s="15" t="inlineStr">
        <is>
          <t>https://ooomedikon.ru/articles/elektrokhimicheskaya-polirovka-nerzhaveyushchey-stali-chto-eto/</t>
        </is>
      </c>
    </row>
    <row r="46" ht="16" customHeight="1">
      <c r="A46" s="3" t="inlineStr">
        <is>
          <t>Электрохимическая полировка нержавейки</t>
        </is>
      </c>
      <c r="B46" s="3" t="inlineStr">
        <is>
          <t>электрохимическая полировка</t>
        </is>
      </c>
      <c r="C46" s="4" t="n">
        <v>7</v>
      </c>
      <c r="D46" s="18" t="inlineStr">
        <is>
          <t>Портал / форум / вики</t>
        </is>
      </c>
      <c r="E46" s="15" t="inlineStr">
        <is>
          <t>chipmaker.ru</t>
        </is>
      </c>
      <c r="F46" s="15" t="inlineStr">
        <is>
          <t>https://www.chipmaker.ru/topic/55/</t>
        </is>
      </c>
    </row>
    <row r="47" ht="16" customHeight="1">
      <c r="A47" s="3" t="inlineStr">
        <is>
          <t>Электрохимическая полировка нержавейки</t>
        </is>
      </c>
      <c r="B47" s="3" t="inlineStr">
        <is>
          <t>электрохимическая полировка</t>
        </is>
      </c>
      <c r="C47" s="4" t="n">
        <v>8</v>
      </c>
      <c r="D47" s="14" t="inlineStr">
        <is>
          <t>Средний сайт</t>
        </is>
      </c>
      <c r="E47" s="15" t="inlineStr">
        <is>
          <t>sapphire.ru</t>
        </is>
      </c>
      <c r="F47" s="15" t="inlineStr">
        <is>
          <t>https://www.sapphire.ru/categories/elektrokhimicheskaya-polirovka-otes-epag-1</t>
        </is>
      </c>
    </row>
    <row r="48" ht="16" customHeight="1">
      <c r="A48" s="3" t="inlineStr">
        <is>
          <t>Электрохимическая полировка нержавейки</t>
        </is>
      </c>
      <c r="B48" s="3" t="inlineStr">
        <is>
          <t>электрохимическая полировка</t>
        </is>
      </c>
      <c r="C48" s="4" t="n">
        <v>9</v>
      </c>
      <c r="D48" s="14" t="inlineStr">
        <is>
          <t>Средний сайт</t>
        </is>
      </c>
      <c r="E48" s="15" t="inlineStr">
        <is>
          <t>zctc.ru</t>
        </is>
      </c>
      <c r="F48" s="15" t="inlineStr">
        <is>
          <t>https://zctc.ru/sections/tehnologiya-processa-polirovaniya-nerjavejki</t>
        </is>
      </c>
    </row>
    <row r="49" ht="16" customHeight="1">
      <c r="A49" s="3" t="inlineStr">
        <is>
          <t>Обзор «Гальванические покрытия»</t>
        </is>
      </c>
      <c r="B49" s="3" t="inlineStr">
        <is>
          <t>гальванические покрытия</t>
        </is>
      </c>
      <c r="C49" s="4" t="n">
        <v>2</v>
      </c>
      <c r="D49" s="14" t="inlineStr">
        <is>
          <t>Средний сайт</t>
        </is>
      </c>
      <c r="E49" s="15" t="inlineStr">
        <is>
          <t>pzki54.ru</t>
        </is>
      </c>
      <c r="F49" s="15" t="inlineStr">
        <is>
          <t>https://pzki54.ru/stati/galvanicheskoe-pokrytie-metalla.php</t>
        </is>
      </c>
    </row>
    <row r="50" ht="16" customHeight="1">
      <c r="A50" s="3" t="inlineStr">
        <is>
          <t>Обзор «Гальванические покрытия»</t>
        </is>
      </c>
      <c r="B50" s="3" t="inlineStr">
        <is>
          <t>гальванические покрытия</t>
        </is>
      </c>
      <c r="C50" s="4" t="n">
        <v>4</v>
      </c>
      <c r="D50" s="14" t="inlineStr">
        <is>
          <t>Средний сайт</t>
        </is>
      </c>
      <c r="E50" s="15" t="inlineStr">
        <is>
          <t>uralactiv.ru</t>
        </is>
      </c>
      <c r="F50" s="15" t="inlineStr">
        <is>
          <t>https://uralactiv.ru/articles/galvanicheskie-pokrytiya/</t>
        </is>
      </c>
    </row>
    <row r="51" ht="16" customHeight="1">
      <c r="A51" s="3" t="inlineStr">
        <is>
          <t>Обзор «Гальванические покрытия»</t>
        </is>
      </c>
      <c r="B51" s="3" t="inlineStr">
        <is>
          <t>гальванические покрытия</t>
        </is>
      </c>
      <c r="C51" s="4" t="n">
        <v>5</v>
      </c>
      <c r="D51" s="17" t="inlineStr">
        <is>
          <t>Мини-сайт</t>
        </is>
      </c>
      <c r="E51" s="15" t="inlineStr">
        <is>
          <t>vector-ostrov.ru</t>
        </is>
      </c>
      <c r="F51" s="15" t="inlineStr">
        <is>
          <t>https://vector-ostrov.ru/blog/galvanicheskoe-pokrytie-metalla-chto-eto-i-kak-rabotaet/</t>
        </is>
      </c>
    </row>
    <row r="52" ht="16" customHeight="1">
      <c r="A52" s="3" t="inlineStr">
        <is>
          <t>Обзор «Гальванические покрытия»</t>
        </is>
      </c>
      <c r="B52" s="3" t="inlineStr">
        <is>
          <t>гальванические покрытия</t>
        </is>
      </c>
      <c r="C52" s="4" t="n">
        <v>6</v>
      </c>
      <c r="D52" s="14" t="inlineStr">
        <is>
          <t>Средний сайт</t>
        </is>
      </c>
      <c r="E52" s="15" t="inlineStr">
        <is>
          <t>trusty-tools.ru</t>
        </is>
      </c>
      <c r="F52" s="15" t="inlineStr">
        <is>
          <t>https://trusty-tools.ru/articles/galvanicheskoe-pokrytie</t>
        </is>
      </c>
    </row>
    <row r="53" ht="16" customHeight="1">
      <c r="A53" s="3" t="inlineStr">
        <is>
          <t>Обзор «Гальванические покрытия»</t>
        </is>
      </c>
      <c r="B53" s="3" t="inlineStr">
        <is>
          <t>гальванические покрытия</t>
        </is>
      </c>
      <c r="C53" s="4" t="n">
        <v>7</v>
      </c>
      <c r="D53" s="14" t="inlineStr">
        <is>
          <t>Средний сайт</t>
        </is>
      </c>
      <c r="E53" s="15" t="inlineStr">
        <is>
          <t>vils.ru</t>
        </is>
      </c>
      <c r="F53" s="15" t="inlineStr">
        <is>
          <t>https://vils.ru/articles/galvanicheskoe-pokrytie-naznachenie-vidy-nanesenie/</t>
        </is>
      </c>
    </row>
    <row r="54" ht="16" customHeight="1">
      <c r="A54" s="3" t="inlineStr">
        <is>
          <t>Обзор «Гальванические покрытия»</t>
        </is>
      </c>
      <c r="B54" s="3" t="inlineStr">
        <is>
          <t>гальванические покрытия</t>
        </is>
      </c>
      <c r="C54" s="4" t="n">
        <v>8</v>
      </c>
      <c r="D54" s="14" t="inlineStr">
        <is>
          <t>Средний сайт</t>
        </is>
      </c>
      <c r="E54" s="15" t="inlineStr">
        <is>
          <t>media.coop-tech.ru</t>
        </is>
      </c>
      <c r="F54" s="15" t="inlineStr">
        <is>
          <t>https://media.coop-tech.ru/articles/tehnologiya/galvanicheskoe-pokrytie/</t>
        </is>
      </c>
    </row>
    <row r="55" ht="16" customHeight="1">
      <c r="A55" s="3" t="inlineStr">
        <is>
          <t>Обзор «Гальванические покрытия»</t>
        </is>
      </c>
      <c r="B55" s="3" t="inlineStr">
        <is>
          <t>гальванические покрытия</t>
        </is>
      </c>
      <c r="C55" s="4" t="n">
        <v>9</v>
      </c>
      <c r="D55" s="17" t="inlineStr">
        <is>
          <t>Мини-сайт</t>
        </is>
      </c>
      <c r="E55" s="15" t="inlineStr">
        <is>
          <t>signal-spb.ru</t>
        </is>
      </c>
      <c r="F55" s="15" t="inlineStr">
        <is>
          <t>https://signal-spb.ru/nashi-vozmozhnosti/proizvodstvo/galvanika/</t>
        </is>
      </c>
    </row>
    <row r="56" ht="16" customHeight="1">
      <c r="A56" s="3" t="inlineStr">
        <is>
          <t>Обзор «Гальванические покрытия»</t>
        </is>
      </c>
      <c r="B56" s="3" t="inlineStr">
        <is>
          <t>гальванические покрытия</t>
        </is>
      </c>
      <c r="C56" s="4" t="n">
        <v>10</v>
      </c>
      <c r="D56" s="17" t="inlineStr">
        <is>
          <t>Мини-сайт</t>
        </is>
      </c>
      <c r="E56" s="15" t="inlineStr">
        <is>
          <t>metiz.com.tw</t>
        </is>
      </c>
      <c r="F56" s="15" t="inlineStr">
        <is>
          <t>https://www.metiz.com.tw/plating_type.htm</t>
        </is>
      </c>
    </row>
    <row r="57" ht="16" customHeight="1">
      <c r="A57" s="3" t="inlineStr">
        <is>
          <t>Шлифовка: продольная и круглая</t>
        </is>
      </c>
      <c r="B57" s="3" t="inlineStr">
        <is>
          <t>круглая шлифовка</t>
        </is>
      </c>
      <c r="C57" s="4" t="n">
        <v>2</v>
      </c>
      <c r="D57" s="14" t="inlineStr">
        <is>
          <t>Средний сайт</t>
        </is>
      </c>
      <c r="E57" s="15" t="inlineStr">
        <is>
          <t>zavodkorund.ru</t>
        </is>
      </c>
      <c r="F57" s="15" t="inlineStr">
        <is>
          <t>https://www.zavodkorund.ru/Информация/Статьи</t>
        </is>
      </c>
    </row>
    <row r="58" ht="16" customHeight="1">
      <c r="A58" s="3" t="inlineStr">
        <is>
          <t>Шлифовка: продольная и круглая</t>
        </is>
      </c>
      <c r="B58" s="3" t="inlineStr">
        <is>
          <t>круглая шлифовка</t>
        </is>
      </c>
      <c r="C58" s="4" t="n">
        <v>4</v>
      </c>
      <c r="D58" s="14" t="inlineStr">
        <is>
          <t>Средний сайт</t>
        </is>
      </c>
      <c r="E58" s="15" t="inlineStr">
        <is>
          <t>profbau.ru</t>
        </is>
      </c>
      <c r="F58" s="15" t="inlineStr">
        <is>
          <t>https://www.profbau.ru/Услуги</t>
        </is>
      </c>
    </row>
    <row r="59" ht="16" customHeight="1">
      <c r="A59" s="3" t="inlineStr">
        <is>
          <t>Шлифовка: продольная и круглая</t>
        </is>
      </c>
      <c r="B59" s="3" t="inlineStr">
        <is>
          <t>круглая шлифовка</t>
        </is>
      </c>
      <c r="C59" s="4" t="n">
        <v>5</v>
      </c>
      <c r="D59" s="17" t="inlineStr">
        <is>
          <t>Мини-сайт</t>
        </is>
      </c>
      <c r="E59" s="15" t="inlineStr">
        <is>
          <t>katana-m.ru</t>
        </is>
      </c>
      <c r="F59" s="15" t="inlineStr">
        <is>
          <t>https://katana-m.ru/blog/kruglaya-shlifovka-metalla</t>
        </is>
      </c>
    </row>
    <row r="60" ht="16" customHeight="1">
      <c r="A60" s="3" t="inlineStr">
        <is>
          <t>Шлифовка: продольная и круглая</t>
        </is>
      </c>
      <c r="B60" s="3" t="inlineStr">
        <is>
          <t>круглая шлифовка</t>
        </is>
      </c>
      <c r="C60" s="4" t="n">
        <v>7</v>
      </c>
      <c r="D60" s="17" t="inlineStr">
        <is>
          <t>Мини-сайт</t>
        </is>
      </c>
      <c r="E60" s="15" t="inlineStr">
        <is>
          <t>polimetservice.ru</t>
        </is>
      </c>
      <c r="F60" s="15" t="inlineStr">
        <is>
          <t>https://polimetservice.ru/services/round-grinding</t>
        </is>
      </c>
    </row>
    <row r="61" ht="16" customHeight="1">
      <c r="A61" s="3" t="inlineStr">
        <is>
          <t>Шлифовка: продольная и круглая</t>
        </is>
      </c>
      <c r="B61" s="3" t="inlineStr">
        <is>
          <t>круглая шлифовка</t>
        </is>
      </c>
      <c r="C61" s="4" t="n">
        <v>8</v>
      </c>
      <c r="D61" s="14" t="inlineStr">
        <is>
          <t>Средний сайт</t>
        </is>
      </c>
      <c r="E61" s="15" t="inlineStr">
        <is>
          <t>cometal.ru</t>
        </is>
      </c>
      <c r="F61" s="15" t="inlineStr">
        <is>
          <t>https://cometal.ru/</t>
        </is>
      </c>
    </row>
    <row r="62" ht="16" customHeight="1">
      <c r="A62" s="3" t="inlineStr">
        <is>
          <t>Шлифовка: продольная и круглая</t>
        </is>
      </c>
      <c r="B62" s="3" t="inlineStr">
        <is>
          <t>круглая шлифовка</t>
        </is>
      </c>
      <c r="C62" s="4" t="n">
        <v>9</v>
      </c>
      <c r="D62" s="17" t="inlineStr">
        <is>
          <t>Мини-сайт</t>
        </is>
      </c>
      <c r="E62" s="15" t="inlineStr">
        <is>
          <t>zavkon.ru</t>
        </is>
      </c>
      <c r="F62" s="15" t="inlineStr">
        <is>
          <t>https://zavkon.ru/Шлифование</t>
        </is>
      </c>
    </row>
    <row r="63" ht="16" customHeight="1">
      <c r="A63" s="3" t="inlineStr">
        <is>
          <t>Шлифовка: продольная и круглая</t>
        </is>
      </c>
      <c r="B63" s="3" t="inlineStr">
        <is>
          <t>круглая шлифовка</t>
        </is>
      </c>
      <c r="C63" s="4" t="n">
        <v>10</v>
      </c>
      <c r="D63" s="17" t="inlineStr">
        <is>
          <t>Мини-сайт</t>
        </is>
      </c>
      <c r="E63" s="15" t="inlineStr">
        <is>
          <t>szdo.net</t>
        </is>
      </c>
      <c r="F63" s="15" t="inlineStr">
        <is>
          <t>https://szdo.net/services/kruglaya-i-ploskaya-shlifovka</t>
        </is>
      </c>
    </row>
    <row r="64" ht="16" customHeight="1">
      <c r="A64" s="3" t="inlineStr">
        <is>
          <t>Шлифовка: продольная и круглая</t>
        </is>
      </c>
      <c r="B64" s="3" t="inlineStr">
        <is>
          <t>плоская шлифовка</t>
        </is>
      </c>
      <c r="C64" s="4" t="n"/>
      <c r="D64" s="19" t="inlineStr">
        <is>
          <t>Нет данных</t>
        </is>
      </c>
      <c r="E64" s="15" t="n"/>
      <c r="F64" s="15" t="inlineStr">
        <is>
          <t>Выдачи в Ahrefs нет</t>
        </is>
      </c>
    </row>
  </sheetData>
  <autoFilter ref="A1:F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2026-09-15T16:46:35Z</dcterms:created>
  <dcterms:modified xmlns:dcterms="http://purl.org/dc/terms/" xmlns:xsi="http://www.w3.org/2001/XMLSchema-instance" xsi:type="dcterms:W3CDTF">2026-09-15T16:46:35Z</dcterms:modified>
</cp:coreProperties>
</file>
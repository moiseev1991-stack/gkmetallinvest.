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айт" sheetId="1" state="visible" r:id="rId1"/>
    <sheet xmlns:r="http://schemas.openxmlformats.org/officeDocument/2006/relationships" name="Частотка" sheetId="2" state="visible" r:id="rId2"/>
    <sheet xmlns:r="http://schemas.openxmlformats.org/officeDocument/2006/relationships" name="Выдача" sheetId="3" state="visible" r:id="rId3"/>
  </sheets>
  <definedNames>
    <definedName name="_xlnm._FilterDatabase" localSheetId="1" hidden="1">'Частотка'!$A$1:$G$14</definedName>
    <definedName name="_xlnm._FilterDatabase" localSheetId="2" hidden="1">'Выдача'!$A$1:$F$25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63B66"/>
      <sz val="14"/>
    </font>
    <font>
      <name val="Arial"/>
      <b val="1"/>
      <sz val="10"/>
    </font>
    <font>
      <name val="Arial"/>
      <b val="1"/>
      <color rgb="00163B66"/>
      <sz val="12"/>
    </font>
    <font>
      <name val="Arial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63B6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4DFE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2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/>
    </xf>
    <xf numFmtId="0" fontId="2" fillId="7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22" customWidth="1" min="4" max="4"/>
    <col width="34" customWidth="1" min="5" max="5"/>
    <col width="12" customWidth="1" min="6" max="6"/>
  </cols>
  <sheetData>
    <row r="1">
      <c r="A1" s="1" t="inlineStr">
        <is>
          <t>Небольшой сайт: Анодирование</t>
        </is>
      </c>
    </row>
    <row r="3">
      <c r="A3" s="2" t="inlineStr">
        <is>
          <t>Очередь</t>
        </is>
      </c>
      <c r="B3" s="3" t="n">
        <v>1</v>
      </c>
    </row>
    <row r="4">
      <c r="A4" s="2" t="inlineStr">
        <is>
          <t>Спрос кластера, запросов в месяц (Google)</t>
        </is>
      </c>
      <c r="B4" s="3">
        <f>SUMIFS(Частотка!$E$2:$E$14,Частотка!$A$2:$A$14,"Анодирование")</f>
        <v/>
      </c>
    </row>
    <row r="5">
      <c r="A5" s="2" t="inlineStr">
        <is>
          <t>Конкуренты в топ-10: небольших сайтов</t>
        </is>
      </c>
      <c r="B5" s="3">
        <f>COUNTIF(Выдача!$D$2:$D$25,"Мини-сайт")</f>
        <v/>
      </c>
    </row>
    <row r="6">
      <c r="A6" s="2" t="inlineStr">
        <is>
          <t>Конкуренты в топ-10: средних</t>
        </is>
      </c>
      <c r="B6" s="3">
        <f>COUNTIF(Выдача!$D$2:$D$25,"Средний сайт")</f>
        <v/>
      </c>
    </row>
    <row r="7">
      <c r="A7" s="2" t="inlineStr">
        <is>
          <t>Конкуренты в топ-10: больших</t>
        </is>
      </c>
      <c r="B7" s="3">
        <f>COUNTIF(Выдача!$D$2:$D$25,"Большой сайт")</f>
        <v/>
      </c>
    </row>
    <row r="8">
      <c r="A8" s="2" t="inlineStr">
        <is>
          <t>Конкуренты в топ-10: порталов, форумов, вики</t>
        </is>
      </c>
      <c r="B8" s="3">
        <f>COUNTIF(Выдача!$D$2:$D$25,"Портал / форум / вики")</f>
        <v/>
      </c>
    </row>
    <row r="9" ht="58" customHeight="1">
      <c r="A9" s="2" t="inlineStr">
        <is>
          <t>Почему отдельный сайт</t>
        </is>
      </c>
      <c r="B9" s="4" t="inlineStr">
        <is>
          <t>Самый большой спрос из покрытий. В топе узкие небольшие сайты анодирования (oxi-pro, metallcleaner, atissteel), больших игроков нет. От нержавейки далеко. Алюминий, титан, твёрдое анодирование, эматаль и хим. оксидирование алюминия — разделы одного сайта.</t>
        </is>
      </c>
    </row>
    <row r="11">
      <c r="A11" s="5" t="inlineStr">
        <is>
          <t>Структура сайта</t>
        </is>
      </c>
    </row>
    <row r="12" ht="32" customHeight="1">
      <c r="A12" s="6" t="inlineStr">
        <is>
          <t>Страница / раздел</t>
        </is>
      </c>
      <c r="B12" s="6" t="inlineStr">
        <is>
          <t>№ у клиента</t>
        </is>
      </c>
      <c r="C12" s="6" t="inlineStr">
        <is>
          <t>Спрос, мес.</t>
        </is>
      </c>
      <c r="D12" s="6" t="inlineStr">
        <is>
          <t>Формат</t>
        </is>
      </c>
      <c r="E12" s="6" t="inlineStr">
        <is>
          <t>Главный запрос</t>
        </is>
      </c>
      <c r="F12" s="7" t="inlineStr"/>
    </row>
    <row r="13" ht="16" customHeight="1">
      <c r="A13" s="8" t="inlineStr">
        <is>
          <t>Анодирование алюминия (бцв, ч, нхр, нв)</t>
        </is>
      </c>
      <c r="B13" s="9" t="n">
        <v>10</v>
      </c>
      <c r="C13" s="10">
        <f>SUMIFS(Частотка!$E$2:$E$14,Частотка!$B$2:$B$14,10)</f>
        <v/>
      </c>
      <c r="D13" s="9">
        <f>IF(C13=MAX($C$13:$C$17),"Главная страница",IF(C13&gt;=100,"Отдельная страница","Раздел"))</f>
        <v/>
      </c>
      <c r="E13" s="11" t="inlineStr">
        <is>
          <t>анодирование — 900</t>
        </is>
      </c>
    </row>
    <row r="14" ht="16" customHeight="1">
      <c r="A14" s="8" t="inlineStr">
        <is>
          <t>Анодирование титана (аноцвет)</t>
        </is>
      </c>
      <c r="B14" s="9" t="n">
        <v>12</v>
      </c>
      <c r="C14" s="10">
        <f>SUMIFS(Частотка!$E$2:$E$14,Частотка!$B$2:$B$14,12)</f>
        <v/>
      </c>
      <c r="D14" s="9">
        <f>IF(C14=MAX($C$13:$C$17),"Главная страница",IF(C14&gt;=100,"Отдельная страница","Раздел"))</f>
        <v/>
      </c>
      <c r="E14" s="11" t="inlineStr">
        <is>
          <t>анодирование титана — 400</t>
        </is>
      </c>
    </row>
    <row r="15" ht="16" customHeight="1">
      <c r="A15" s="8" t="inlineStr">
        <is>
          <t>Твёрдое анодирование 20–40 и 40–60 мкм</t>
        </is>
      </c>
      <c r="B15" s="9" t="n">
        <v>11</v>
      </c>
      <c r="C15" s="10">
        <f>SUMIFS(Частотка!$E$2:$E$14,Частотка!$B$2:$B$14,11)</f>
        <v/>
      </c>
      <c r="D15" s="9">
        <f>IF(C15=MAX($C$13:$C$17),"Главная страница",IF(C15&gt;=100,"Отдельная страница","Раздел"))</f>
        <v/>
      </c>
      <c r="E15" s="11" t="inlineStr">
        <is>
          <t>твердое анодирование алюминия — 40</t>
        </is>
      </c>
    </row>
    <row r="16" ht="16" customHeight="1">
      <c r="A16" s="8" t="inlineStr">
        <is>
          <t>Эматалирование</t>
        </is>
      </c>
      <c r="B16" s="9" t="n">
        <v>13</v>
      </c>
      <c r="C16" s="10">
        <f>SUMIFS(Частотка!$E$2:$E$14,Частотка!$B$2:$B$14,13)</f>
        <v/>
      </c>
      <c r="D16" s="9">
        <f>IF(C16=MAX($C$13:$C$17),"Главная страница",IF(C16&gt;=100,"Отдельная страница","Раздел"))</f>
        <v/>
      </c>
      <c r="E16" s="11" t="inlineStr">
        <is>
          <t>эматалирование — 10</t>
        </is>
      </c>
    </row>
    <row r="17" ht="16" customHeight="1">
      <c r="A17" s="8" t="inlineStr">
        <is>
          <t>Хим. оксидирование алюминия (электропроводное)</t>
        </is>
      </c>
      <c r="B17" s="9" t="n">
        <v>15</v>
      </c>
      <c r="C17" s="10">
        <f>SUMIFS(Частотка!$E$2:$E$14,Частотка!$B$2:$B$14,15)</f>
        <v/>
      </c>
      <c r="D17" s="9">
        <f>IF(C17=MAX($C$13:$C$17),"Главная страница",IF(C17&gt;=100,"Отдельная страница","Раздел"))</f>
        <v/>
      </c>
      <c r="E17" s="11" t="inlineStr">
        <is>
          <t>хроматирование — 80</t>
        </is>
      </c>
    </row>
    <row r="19">
      <c r="A19" s="12" t="inlineStr">
        <is>
          <t>Без запросов в данных (разделом на главной): № 14 Анодирование хромовое</t>
        </is>
      </c>
    </row>
    <row r="20">
      <c r="A20" s="12" t="inlineStr">
        <is>
          <t>Формат — формулой: у направления с наибольшим спросом — главная; от 100 запросов — отдельная страница; меньше — раздел. Спрос — Google (Ahrefs RU), с Яндексом примерно ×2–3.</t>
        </is>
      </c>
    </row>
  </sheetData>
  <mergeCells count="1"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6" customWidth="1" min="3" max="3"/>
    <col width="42" customWidth="1" min="4" max="4"/>
    <col width="14" customWidth="1" min="5" max="5"/>
    <col width="10" customWidth="1" min="6" max="6"/>
    <col width="12" customWidth="1" min="7" max="7"/>
  </cols>
  <sheetData>
    <row r="1" ht="32" customHeight="1">
      <c r="A1" s="6" t="inlineStr">
        <is>
          <t>Кластер</t>
        </is>
      </c>
      <c r="B1" s="6" t="inlineStr">
        <is>
          <t>№ у клиента</t>
        </is>
      </c>
      <c r="C1" s="6" t="inlineStr">
        <is>
          <t>Направление клиента</t>
        </is>
      </c>
      <c r="D1" s="6" t="inlineStr">
        <is>
          <t>Запрос</t>
        </is>
      </c>
      <c r="E1" s="6" t="inlineStr">
        <is>
          <t>Объём, Google (Ahrefs RU), мес.</t>
        </is>
      </c>
      <c r="F1" s="6" t="inlineStr">
        <is>
          <t>KD</t>
        </is>
      </c>
      <c r="G1" s="6" t="inlineStr">
        <is>
          <t>Wordstat точная</t>
        </is>
      </c>
    </row>
    <row r="2" ht="16" customHeight="1">
      <c r="A2" s="11" t="inlineStr">
        <is>
          <t>Анодирование</t>
        </is>
      </c>
      <c r="B2" s="9" t="n">
        <v>10</v>
      </c>
      <c r="C2" s="11" t="inlineStr">
        <is>
          <t>Анодирование алюминия (бцв, ч, нхр, нв)</t>
        </is>
      </c>
      <c r="D2" s="11" t="inlineStr">
        <is>
          <t>анодирование</t>
        </is>
      </c>
      <c r="E2" s="10" t="n">
        <v>900</v>
      </c>
      <c r="F2" s="9" t="n">
        <v>7</v>
      </c>
      <c r="G2" s="9" t="n"/>
    </row>
    <row r="3" ht="16" customHeight="1">
      <c r="A3" s="11" t="inlineStr">
        <is>
          <t>Анодирование</t>
        </is>
      </c>
      <c r="B3" s="9" t="n">
        <v>10</v>
      </c>
      <c r="C3" s="11" t="inlineStr">
        <is>
          <t>Анодирование алюминия (бцв, ч, нхр, нв)</t>
        </is>
      </c>
      <c r="D3" s="11" t="inlineStr">
        <is>
          <t>анодирование алюминия</t>
        </is>
      </c>
      <c r="E3" s="10" t="n">
        <v>600</v>
      </c>
      <c r="F3" s="9" t="n">
        <v>0</v>
      </c>
      <c r="G3" s="9" t="n"/>
    </row>
    <row r="4" ht="16" customHeight="1">
      <c r="A4" s="11" t="inlineStr">
        <is>
          <t>Анодирование</t>
        </is>
      </c>
      <c r="B4" s="9" t="n">
        <v>10</v>
      </c>
      <c r="C4" s="11" t="inlineStr">
        <is>
          <t>Анодирование алюминия (бцв, ч, нхр, нв)</t>
        </is>
      </c>
      <c r="D4" s="11" t="inlineStr">
        <is>
          <t>анодное оксидирование</t>
        </is>
      </c>
      <c r="E4" s="10" t="n">
        <v>80</v>
      </c>
      <c r="F4" s="9" t="n">
        <v>0</v>
      </c>
      <c r="G4" s="9" t="n"/>
    </row>
    <row r="5" ht="16" customHeight="1">
      <c r="A5" s="11" t="inlineStr">
        <is>
          <t>Анодирование</t>
        </is>
      </c>
      <c r="B5" s="9" t="n">
        <v>10</v>
      </c>
      <c r="C5" s="11" t="inlineStr">
        <is>
          <t>Анодирование алюминия (бцв, ч, нхр, нв)</t>
        </is>
      </c>
      <c r="D5" s="11" t="inlineStr">
        <is>
          <t>анодирование алюминия цена</t>
        </is>
      </c>
      <c r="E5" s="10" t="n">
        <v>70</v>
      </c>
      <c r="F5" s="9" t="n">
        <v>0</v>
      </c>
      <c r="G5" s="9" t="n"/>
    </row>
    <row r="6" ht="16" customHeight="1">
      <c r="A6" s="11" t="inlineStr">
        <is>
          <t>Анодирование</t>
        </is>
      </c>
      <c r="B6" s="9" t="n">
        <v>10</v>
      </c>
      <c r="C6" s="11" t="inlineStr">
        <is>
          <t>Анодирование алюминия (бцв, ч, нхр, нв)</t>
        </is>
      </c>
      <c r="D6" s="11" t="inlineStr">
        <is>
          <t>цветное анодирование алюминия</t>
        </is>
      </c>
      <c r="E6" s="10" t="n">
        <v>30</v>
      </c>
      <c r="F6" s="9" t="n">
        <v>14</v>
      </c>
      <c r="G6" s="9" t="n"/>
    </row>
    <row r="7" ht="16" customHeight="1">
      <c r="A7" s="11" t="inlineStr">
        <is>
          <t>Анодирование</t>
        </is>
      </c>
      <c r="B7" s="9" t="n">
        <v>10</v>
      </c>
      <c r="C7" s="11" t="inlineStr">
        <is>
          <t>Анодирование алюминия (бцв, ч, нхр, нв)</t>
        </is>
      </c>
      <c r="D7" s="11" t="inlineStr">
        <is>
          <t>анодирование нижний новгород</t>
        </is>
      </c>
      <c r="E7" s="10" t="n">
        <v>0</v>
      </c>
      <c r="F7" s="9" t="n"/>
      <c r="G7" s="9" t="n"/>
    </row>
    <row r="8" ht="16" customHeight="1">
      <c r="A8" s="11" t="inlineStr">
        <is>
          <t>Анодирование</t>
        </is>
      </c>
      <c r="B8" s="9" t="n">
        <v>12</v>
      </c>
      <c r="C8" s="11" t="inlineStr">
        <is>
          <t>Анодирование титана (аноцвет)</t>
        </is>
      </c>
      <c r="D8" s="11" t="inlineStr">
        <is>
          <t>анодирование титана</t>
        </is>
      </c>
      <c r="E8" s="10" t="n">
        <v>400</v>
      </c>
      <c r="F8" s="9" t="n">
        <v>0</v>
      </c>
      <c r="G8" s="9" t="n"/>
    </row>
    <row r="9" ht="16" customHeight="1">
      <c r="A9" s="11" t="inlineStr">
        <is>
          <t>Анодирование</t>
        </is>
      </c>
      <c r="B9" s="9" t="n">
        <v>11</v>
      </c>
      <c r="C9" s="11" t="inlineStr">
        <is>
          <t>Твёрдое анодирование 20–40 и 40–60 мкм</t>
        </is>
      </c>
      <c r="D9" s="11" t="inlineStr">
        <is>
          <t>твердое анодирование алюминия</t>
        </is>
      </c>
      <c r="E9" s="10" t="n">
        <v>40</v>
      </c>
      <c r="F9" s="9" t="n"/>
      <c r="G9" s="9" t="n"/>
    </row>
    <row r="10" ht="16" customHeight="1">
      <c r="A10" s="11" t="inlineStr">
        <is>
          <t>Анодирование</t>
        </is>
      </c>
      <c r="B10" s="9" t="n">
        <v>11</v>
      </c>
      <c r="C10" s="11" t="inlineStr">
        <is>
          <t>Твёрдое анодирование 20–40 и 40–60 мкм</t>
        </is>
      </c>
      <c r="D10" s="11" t="inlineStr">
        <is>
          <t>твердое анодирование</t>
        </is>
      </c>
      <c r="E10" s="10" t="n">
        <v>20</v>
      </c>
      <c r="F10" s="9" t="n"/>
      <c r="G10" s="9" t="n"/>
    </row>
    <row r="11" ht="16" customHeight="1">
      <c r="A11" s="11" t="inlineStr">
        <is>
          <t>Анодирование</t>
        </is>
      </c>
      <c r="B11" s="9" t="n">
        <v>13</v>
      </c>
      <c r="C11" s="11" t="inlineStr">
        <is>
          <t>Эматалирование</t>
        </is>
      </c>
      <c r="D11" s="11" t="inlineStr">
        <is>
          <t>эматалирование</t>
        </is>
      </c>
      <c r="E11" s="10" t="n">
        <v>10</v>
      </c>
      <c r="F11" s="9" t="n"/>
      <c r="G11" s="9" t="n"/>
    </row>
    <row r="12" ht="16" customHeight="1">
      <c r="A12" s="11" t="inlineStr">
        <is>
          <t>Анодирование</t>
        </is>
      </c>
      <c r="B12" s="9" t="n">
        <v>15</v>
      </c>
      <c r="C12" s="11" t="inlineStr">
        <is>
          <t>Хим. оксидирование алюминия (электропроводное)</t>
        </is>
      </c>
      <c r="D12" s="11" t="inlineStr">
        <is>
          <t>хроматирование</t>
        </is>
      </c>
      <c r="E12" s="10" t="n">
        <v>80</v>
      </c>
      <c r="F12" s="9" t="n">
        <v>0</v>
      </c>
      <c r="G12" s="9" t="n"/>
    </row>
    <row r="13" ht="16" customHeight="1">
      <c r="A13" s="11" t="inlineStr">
        <is>
          <t>Анодирование</t>
        </is>
      </c>
      <c r="B13" s="9" t="n">
        <v>15</v>
      </c>
      <c r="C13" s="11" t="inlineStr">
        <is>
          <t>Хим. оксидирование алюминия (электропроводное)</t>
        </is>
      </c>
      <c r="D13" s="11" t="inlineStr">
        <is>
          <t>химическое оксидирование алюминия</t>
        </is>
      </c>
      <c r="E13" s="10" t="n">
        <v>40</v>
      </c>
      <c r="F13" s="9" t="n">
        <v>0</v>
      </c>
      <c r="G13" s="9" t="n"/>
    </row>
    <row r="14" ht="16" customHeight="1">
      <c r="A14" s="11" t="inlineStr">
        <is>
          <t>Анодирование</t>
        </is>
      </c>
      <c r="B14" s="9" t="n">
        <v>15</v>
      </c>
      <c r="C14" s="11" t="inlineStr">
        <is>
          <t>Хим. оксидирование алюминия (электропроводное)</t>
        </is>
      </c>
      <c r="D14" s="11" t="inlineStr">
        <is>
          <t>хроматирование алюминия</t>
        </is>
      </c>
      <c r="E14" s="10" t="n">
        <v>10</v>
      </c>
      <c r="F14" s="9" t="n"/>
      <c r="G14" s="9" t="n"/>
    </row>
  </sheetData>
  <autoFilter ref="A1:G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9" customWidth="1" min="3" max="3"/>
    <col width="22" customWidth="1" min="4" max="4"/>
    <col width="24" customWidth="1" min="5" max="5"/>
    <col width="70" customWidth="1" min="6" max="6"/>
  </cols>
  <sheetData>
    <row r="1" ht="32" customHeight="1">
      <c r="A1" s="6" t="inlineStr">
        <is>
          <t>Кластер</t>
        </is>
      </c>
      <c r="B1" s="6" t="inlineStr">
        <is>
          <t>Запрос</t>
        </is>
      </c>
      <c r="C1" s="6" t="inlineStr">
        <is>
          <t>Позиция</t>
        </is>
      </c>
      <c r="D1" s="6" t="inlineStr">
        <is>
          <t>Тип сайта конкурента</t>
        </is>
      </c>
      <c r="E1" s="6" t="inlineStr">
        <is>
          <t>Сайт</t>
        </is>
      </c>
      <c r="F1" s="6" t="inlineStr">
        <is>
          <t>Страница в выдаче</t>
        </is>
      </c>
    </row>
    <row r="2" ht="16" customHeight="1">
      <c r="A2" s="11" t="inlineStr">
        <is>
          <t>Анодирование</t>
        </is>
      </c>
      <c r="B2" s="11" t="inlineStr">
        <is>
          <t>анодирование алюминия</t>
        </is>
      </c>
      <c r="C2" s="9" t="n">
        <v>2</v>
      </c>
      <c r="D2" s="13" t="inlineStr">
        <is>
          <t>Средний сайт</t>
        </is>
      </c>
      <c r="E2" s="14" t="inlineStr">
        <is>
          <t>fortis-steel.ru</t>
        </is>
      </c>
      <c r="F2" s="14" t="inlineStr">
        <is>
          <t>https://fortis-steel.ru/Услуги</t>
        </is>
      </c>
    </row>
    <row r="3" ht="16" customHeight="1">
      <c r="A3" s="11" t="inlineStr">
        <is>
          <t>Анодирование</t>
        </is>
      </c>
      <c r="B3" s="11" t="inlineStr">
        <is>
          <t>анодирование алюминия</t>
        </is>
      </c>
      <c r="C3" s="9" t="n">
        <v>3</v>
      </c>
      <c r="D3" s="15" t="inlineStr">
        <is>
          <t>Портал / форум / вики</t>
        </is>
      </c>
      <c r="E3" s="14" t="inlineStr">
        <is>
          <t>drive2.ru</t>
        </is>
      </c>
      <c r="F3" s="14" t="inlineStr">
        <is>
          <t>https://www.drive2.ru/</t>
        </is>
      </c>
    </row>
    <row r="4" ht="16" customHeight="1">
      <c r="A4" s="11" t="inlineStr">
        <is>
          <t>Анодирование</t>
        </is>
      </c>
      <c r="B4" s="11" t="inlineStr">
        <is>
          <t>анодирование алюминия</t>
        </is>
      </c>
      <c r="C4" s="9" t="n">
        <v>5</v>
      </c>
      <c r="D4" s="16" t="inlineStr">
        <is>
          <t>Мини-сайт</t>
        </is>
      </c>
      <c r="E4" s="14" t="inlineStr">
        <is>
          <t>metallcleaner.com</t>
        </is>
      </c>
      <c r="F4" s="14" t="inlineStr">
        <is>
          <t>https://metallcleaner.com/aluminiy-anodirovanie</t>
        </is>
      </c>
    </row>
    <row r="5" ht="16" customHeight="1">
      <c r="A5" s="11" t="inlineStr">
        <is>
          <t>Анодирование</t>
        </is>
      </c>
      <c r="B5" s="11" t="inlineStr">
        <is>
          <t>анодирование алюминия</t>
        </is>
      </c>
      <c r="C5" s="9" t="n">
        <v>6</v>
      </c>
      <c r="D5" s="13" t="inlineStr">
        <is>
          <t>Средний сайт</t>
        </is>
      </c>
      <c r="E5" s="14" t="inlineStr">
        <is>
          <t>rtg-mps.ru</t>
        </is>
      </c>
      <c r="F5" s="14" t="inlineStr">
        <is>
          <t>https://rtg-mps.ru/Статьи</t>
        </is>
      </c>
    </row>
    <row r="6" ht="16" customHeight="1">
      <c r="A6" s="11" t="inlineStr">
        <is>
          <t>Анодирование</t>
        </is>
      </c>
      <c r="B6" s="11" t="inlineStr">
        <is>
          <t>анодирование алюминия</t>
        </is>
      </c>
      <c r="C6" s="9" t="n">
        <v>7</v>
      </c>
      <c r="D6" s="16" t="inlineStr">
        <is>
          <t>Мини-сайт</t>
        </is>
      </c>
      <c r="E6" s="14" t="inlineStr">
        <is>
          <t>oxi-pro.ru</t>
        </is>
      </c>
      <c r="F6" s="14" t="inlineStr">
        <is>
          <t>https://oxi-pro.ru/chto-takoe-anodirovanie-alyuminiya</t>
        </is>
      </c>
    </row>
    <row r="7" ht="16" customHeight="1">
      <c r="A7" s="11" t="inlineStr">
        <is>
          <t>Анодирование</t>
        </is>
      </c>
      <c r="B7" s="11" t="inlineStr">
        <is>
          <t>анодирование алюминия</t>
        </is>
      </c>
      <c r="C7" s="9" t="n">
        <v>8</v>
      </c>
      <c r="D7" s="13" t="inlineStr">
        <is>
          <t>Средний сайт</t>
        </is>
      </c>
      <c r="E7" s="14" t="inlineStr">
        <is>
          <t>atissteel.ru</t>
        </is>
      </c>
      <c r="F7" s="14" t="inlineStr">
        <is>
          <t>https://www.atissteel.ru/anodirovka-aljuminija</t>
        </is>
      </c>
    </row>
    <row r="8" ht="16" customHeight="1">
      <c r="A8" s="11" t="inlineStr">
        <is>
          <t>Анодирование</t>
        </is>
      </c>
      <c r="B8" s="11" t="inlineStr">
        <is>
          <t>анодирование алюминия</t>
        </is>
      </c>
      <c r="C8" s="9" t="n">
        <v>9</v>
      </c>
      <c r="D8" s="16" t="inlineStr">
        <is>
          <t>Мини-сайт</t>
        </is>
      </c>
      <c r="E8" s="14" t="inlineStr">
        <is>
          <t>precision-machines.ru</t>
        </is>
      </c>
      <c r="F8" s="14" t="inlineStr">
        <is>
          <t>https://precision-machines.ru/viewtopic</t>
        </is>
      </c>
    </row>
    <row r="9" ht="16" customHeight="1">
      <c r="A9" s="11" t="inlineStr">
        <is>
          <t>Анодирование</t>
        </is>
      </c>
      <c r="B9" s="11" t="inlineStr">
        <is>
          <t>анодирование алюминия</t>
        </is>
      </c>
      <c r="C9" s="9" t="n">
        <v>10</v>
      </c>
      <c r="D9" s="15" t="inlineStr">
        <is>
          <t>Портал / форум / вики</t>
        </is>
      </c>
      <c r="E9" s="14" t="inlineStr">
        <is>
          <t>ru.wikipedia.org</t>
        </is>
      </c>
      <c r="F9" s="14" t="inlineStr">
        <is>
          <t>https://ru.wikipedia.org/wiki/Анодирование</t>
        </is>
      </c>
    </row>
    <row r="10" ht="16" customHeight="1">
      <c r="A10" s="11" t="inlineStr">
        <is>
          <t>Анодирование</t>
        </is>
      </c>
      <c r="B10" s="11" t="inlineStr">
        <is>
          <t>анодирование титана</t>
        </is>
      </c>
      <c r="C10" s="9" t="n">
        <v>2</v>
      </c>
      <c r="D10" s="13" t="inlineStr">
        <is>
          <t>Средний сайт</t>
        </is>
      </c>
      <c r="E10" s="14" t="inlineStr">
        <is>
          <t>zctc.ru</t>
        </is>
      </c>
      <c r="F10" s="14" t="inlineStr">
        <is>
          <t>https://zctc.ru/sections/anodirovanie-titana</t>
        </is>
      </c>
    </row>
    <row r="11" ht="16" customHeight="1">
      <c r="A11" s="11" t="inlineStr">
        <is>
          <t>Анодирование</t>
        </is>
      </c>
      <c r="B11" s="11" t="inlineStr">
        <is>
          <t>анодирование титана</t>
        </is>
      </c>
      <c r="C11" s="9" t="n">
        <v>4</v>
      </c>
      <c r="D11" s="17" t="inlineStr">
        <is>
          <t>Большой сайт</t>
        </is>
      </c>
      <c r="E11" s="14" t="inlineStr">
        <is>
          <t>inner.su</t>
        </is>
      </c>
      <c r="F11" s="14" t="inlineStr">
        <is>
          <t>https://inner.su/Блог/Познавательное</t>
        </is>
      </c>
    </row>
    <row r="12" ht="16" customHeight="1">
      <c r="A12" s="11" t="inlineStr">
        <is>
          <t>Анодирование</t>
        </is>
      </c>
      <c r="B12" s="11" t="inlineStr">
        <is>
          <t>анодирование титана</t>
        </is>
      </c>
      <c r="C12" s="9" t="n">
        <v>5</v>
      </c>
      <c r="D12" s="15" t="inlineStr">
        <is>
          <t>Портал / форум / вики</t>
        </is>
      </c>
      <c r="E12" s="14" t="inlineStr">
        <is>
          <t>forum.guns.ru</t>
        </is>
      </c>
      <c r="F12" s="14" t="inlineStr">
        <is>
          <t>https://forum.guns.ru/</t>
        </is>
      </c>
    </row>
    <row r="13" ht="16" customHeight="1">
      <c r="A13" s="11" t="inlineStr">
        <is>
          <t>Анодирование</t>
        </is>
      </c>
      <c r="B13" s="11" t="inlineStr">
        <is>
          <t>анодирование титана</t>
        </is>
      </c>
      <c r="C13" s="9" t="n">
        <v>6</v>
      </c>
      <c r="D13" s="16" t="inlineStr">
        <is>
          <t>Мини-сайт</t>
        </is>
      </c>
      <c r="E13" s="14" t="inlineStr">
        <is>
          <t>friendsonly.ru</t>
        </is>
      </c>
      <c r="F13" s="14" t="inlineStr">
        <is>
          <t>https://friendsonly.ru/anodise</t>
        </is>
      </c>
    </row>
    <row r="14" ht="16" customHeight="1">
      <c r="A14" s="11" t="inlineStr">
        <is>
          <t>Анодирование</t>
        </is>
      </c>
      <c r="B14" s="11" t="inlineStr">
        <is>
          <t>анодирование титана</t>
        </is>
      </c>
      <c r="C14" s="9" t="n">
        <v>7</v>
      </c>
      <c r="D14" s="15" t="inlineStr">
        <is>
          <t>Портал / форум / вики</t>
        </is>
      </c>
      <c r="E14" s="14" t="inlineStr">
        <is>
          <t>vk.com</t>
        </is>
      </c>
      <c r="F14" s="14" t="inlineStr">
        <is>
          <t>https://vk.com/wall-51126445_149263</t>
        </is>
      </c>
    </row>
    <row r="15" ht="16" customHeight="1">
      <c r="A15" s="11" t="inlineStr">
        <is>
          <t>Анодирование</t>
        </is>
      </c>
      <c r="B15" s="11" t="inlineStr">
        <is>
          <t>анодирование титана</t>
        </is>
      </c>
      <c r="C15" s="9" t="n">
        <v>8</v>
      </c>
      <c r="D15" s="15" t="inlineStr">
        <is>
          <t>Портал / форум / вики</t>
        </is>
      </c>
      <c r="E15" s="14" t="inlineStr">
        <is>
          <t>google.com</t>
        </is>
      </c>
      <c r="F15" s="14" t="inlineStr">
        <is>
          <t>https://www.google.com/goto (переход)</t>
        </is>
      </c>
    </row>
    <row r="16" ht="16" customHeight="1">
      <c r="A16" s="11" t="inlineStr">
        <is>
          <t>Анодирование</t>
        </is>
      </c>
      <c r="B16" s="11" t="inlineStr">
        <is>
          <t>анодирование титана</t>
        </is>
      </c>
      <c r="C16" s="9" t="n">
        <v>9</v>
      </c>
      <c r="D16" s="16" t="inlineStr">
        <is>
          <t>Мини-сайт</t>
        </is>
      </c>
      <c r="E16" s="14" t="inlineStr">
        <is>
          <t>arbormanufactory.ru</t>
        </is>
      </c>
      <c r="F16" s="14" t="inlineStr">
        <is>
          <t>https://arbormanufactory.ru/tsveta-titana</t>
        </is>
      </c>
    </row>
    <row r="17" ht="16" customHeight="1">
      <c r="A17" s="11" t="inlineStr">
        <is>
          <t>Анодирование</t>
        </is>
      </c>
      <c r="B17" s="11" t="inlineStr">
        <is>
          <t>анодирование титана</t>
        </is>
      </c>
      <c r="C17" s="9" t="n">
        <v>10</v>
      </c>
      <c r="D17" s="16" t="inlineStr">
        <is>
          <t>Мини-сайт</t>
        </is>
      </c>
      <c r="E17" s="14" t="inlineStr">
        <is>
          <t>metallps.ru</t>
        </is>
      </c>
      <c r="F17" s="14" t="inlineStr">
        <is>
          <t>https://metallps.ru/anodirovanie-titana</t>
        </is>
      </c>
    </row>
    <row r="18" ht="16" customHeight="1">
      <c r="A18" s="11" t="inlineStr">
        <is>
          <t>Анодирование</t>
        </is>
      </c>
      <c r="B18" s="11" t="inlineStr">
        <is>
          <t>химическое оксидирование алюминия</t>
        </is>
      </c>
      <c r="C18" s="9" t="n">
        <v>2</v>
      </c>
      <c r="D18" s="13" t="inlineStr">
        <is>
          <t>Средний сайт</t>
        </is>
      </c>
      <c r="E18" s="14" t="inlineStr">
        <is>
          <t>zctc.ru</t>
        </is>
      </c>
      <c r="F18" s="14" t="inlineStr">
        <is>
          <t>https://zctc.ru/Статьи</t>
        </is>
      </c>
    </row>
    <row r="19" ht="16" customHeight="1">
      <c r="A19" s="11" t="inlineStr">
        <is>
          <t>Анодирование</t>
        </is>
      </c>
      <c r="B19" s="11" t="inlineStr">
        <is>
          <t>химическое оксидирование алюминия</t>
        </is>
      </c>
      <c r="C19" s="9" t="n">
        <v>3</v>
      </c>
      <c r="D19" s="18" t="inlineStr">
        <is>
          <t>Нет данных</t>
        </is>
      </c>
      <c r="E19" s="14" t="inlineStr">
        <is>
          <t>гальванопластика.рф</t>
        </is>
      </c>
      <c r="F19" s="14" t="inlineStr">
        <is>
          <t>https://гальванопластика.рф/product</t>
        </is>
      </c>
    </row>
    <row r="20" ht="16" customHeight="1">
      <c r="A20" s="11" t="inlineStr">
        <is>
          <t>Анодирование</t>
        </is>
      </c>
      <c r="B20" s="11" t="inlineStr">
        <is>
          <t>химическое оксидирование алюминия</t>
        </is>
      </c>
      <c r="C20" s="9" t="n">
        <v>4</v>
      </c>
      <c r="D20" s="17" t="inlineStr">
        <is>
          <t>Большой сайт</t>
        </is>
      </c>
      <c r="E20" s="14" t="inlineStr">
        <is>
          <t>metallicheckiy-portal.ru</t>
        </is>
      </c>
      <c r="F20" s="14" t="inlineStr">
        <is>
          <t>https://metallicheckiy-portal.ru/articles/splavi_alyminia</t>
        </is>
      </c>
    </row>
    <row r="21" ht="16" customHeight="1">
      <c r="A21" s="11" t="inlineStr">
        <is>
          <t>Анодирование</t>
        </is>
      </c>
      <c r="B21" s="11" t="inlineStr">
        <is>
          <t>химическое оксидирование алюминия</t>
        </is>
      </c>
      <c r="C21" s="9" t="n">
        <v>5</v>
      </c>
      <c r="D21" s="15" t="inlineStr">
        <is>
          <t>Портал / форум / вики</t>
        </is>
      </c>
      <c r="E21" s="14" t="inlineStr">
        <is>
          <t>studfile.net</t>
        </is>
      </c>
      <c r="F21" s="14" t="inlineStr">
        <is>
          <t>https://studfile.net/preview</t>
        </is>
      </c>
    </row>
    <row r="22" ht="16" customHeight="1">
      <c r="A22" s="11" t="inlineStr">
        <is>
          <t>Анодирование</t>
        </is>
      </c>
      <c r="B22" s="11" t="inlineStr">
        <is>
          <t>химическое оксидирование алюминия</t>
        </is>
      </c>
      <c r="C22" s="9" t="n">
        <v>6</v>
      </c>
      <c r="D22" s="15" t="inlineStr">
        <is>
          <t>Портал / форум / вики</t>
        </is>
      </c>
      <c r="E22" s="14" t="inlineStr">
        <is>
          <t>biblioserver.usurt.ru</t>
        </is>
      </c>
      <c r="F22" s="14" t="inlineStr">
        <is>
          <t>https://biblioserver.usurt.ru/cgi-bin/cgiirbis_64 (PDF)</t>
        </is>
      </c>
    </row>
    <row r="23" ht="16" customHeight="1">
      <c r="A23" s="11" t="inlineStr">
        <is>
          <t>Анодирование</t>
        </is>
      </c>
      <c r="B23" s="11" t="inlineStr">
        <is>
          <t>химическое оксидирование алюминия</t>
        </is>
      </c>
      <c r="C23" s="9" t="n">
        <v>8</v>
      </c>
      <c r="D23" s="16" t="inlineStr">
        <is>
          <t>Мини-сайт</t>
        </is>
      </c>
      <c r="E23" s="14" t="inlineStr">
        <is>
          <t>platings.ru</t>
        </is>
      </c>
      <c r="F23" s="14" t="inlineStr">
        <is>
          <t>https://platings.ru/chem_oks_aluminum</t>
        </is>
      </c>
    </row>
    <row r="24" ht="16" customHeight="1">
      <c r="A24" s="11" t="inlineStr">
        <is>
          <t>Анодирование</t>
        </is>
      </c>
      <c r="B24" s="11" t="inlineStr">
        <is>
          <t>химическое оксидирование алюминия</t>
        </is>
      </c>
      <c r="C24" s="9" t="n">
        <v>9</v>
      </c>
      <c r="D24" s="13" t="inlineStr">
        <is>
          <t>Средний сайт</t>
        </is>
      </c>
      <c r="E24" s="14" t="inlineStr">
        <is>
          <t>ugreaktiv-galvanika.ru</t>
        </is>
      </c>
      <c r="F24" s="14" t="inlineStr">
        <is>
          <t>https://ugreaktiv-galvanika.ru/magazin-2/tag</t>
        </is>
      </c>
    </row>
    <row r="25" ht="16" customHeight="1">
      <c r="A25" s="11" t="inlineStr">
        <is>
          <t>Анодирование</t>
        </is>
      </c>
      <c r="B25" s="11" t="inlineStr">
        <is>
          <t>химическое оксидирование алюминия</t>
        </is>
      </c>
      <c r="C25" s="9" t="n">
        <v>10</v>
      </c>
      <c r="D25" s="16" t="inlineStr">
        <is>
          <t>Мини-сайт</t>
        </is>
      </c>
      <c r="E25" s="14" t="inlineStr">
        <is>
          <t>aluminium-ukraine.com.ua</t>
        </is>
      </c>
      <c r="F25" s="14" t="inlineStr">
        <is>
          <t>https://aluminium-ukraine.com.ua/Статьи</t>
        </is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2026-09-15T16:46:34Z</dcterms:created>
  <dcterms:modified xmlns:dcterms="http://purl.org/dc/terms/" xmlns:xsi="http://www.w3.org/2001/XMLSchema-instance" xsi:type="dcterms:W3CDTF">2026-09-15T16:46:34Z</dcterms:modified>
</cp:coreProperties>
</file>
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йт" sheetId="1" state="visible" r:id="rId1"/>
    <sheet xmlns:r="http://schemas.openxmlformats.org/officeDocument/2006/relationships" name="Частотка" sheetId="2" state="visible" r:id="rId2"/>
    <sheet xmlns:r="http://schemas.openxmlformats.org/officeDocument/2006/relationships" name="Выдача" sheetId="3" state="visible" r:id="rId3"/>
  </sheets>
  <definedNames>
    <definedName name="_xlnm._FilterDatabase" localSheetId="1" hidden="1">'Частотка'!$A$1:$G$6</definedName>
    <definedName name="_xlnm._FilterDatabase" localSheetId="2" hidden="1">'Выдача'!$A$1:$F$18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3B66"/>
      <sz val="14"/>
    </font>
    <font>
      <name val="Arial"/>
      <b val="1"/>
      <sz val="10"/>
    </font>
    <font>
      <name val="Arial"/>
      <b val="1"/>
      <color rgb="00163B66"/>
      <sz val="12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2" customWidth="1" min="4" max="4"/>
    <col width="34" customWidth="1" min="5" max="5"/>
    <col width="12" customWidth="1" min="6" max="6"/>
  </cols>
  <sheetData>
    <row r="1">
      <c r="A1" s="1" t="inlineStr">
        <is>
          <t>Небольшой сайт: Серебрение и золочение</t>
        </is>
      </c>
    </row>
    <row r="3">
      <c r="A3" s="2" t="inlineStr">
        <is>
          <t>Очередь</t>
        </is>
      </c>
      <c r="B3" s="3" t="n">
        <v>2</v>
      </c>
    </row>
    <row r="4">
      <c r="A4" s="2" t="inlineStr">
        <is>
          <t>Спрос кластера, запросов в месяц (Google)</t>
        </is>
      </c>
      <c r="B4" s="3">
        <f>SUMIFS(Частотка!$E$2:$E$6,Частотка!$A$2:$A$6,"Серебрение и золочение")</f>
        <v/>
      </c>
    </row>
    <row r="5">
      <c r="A5" s="2" t="inlineStr">
        <is>
          <t>Конкуренты в топ-10: небольших сайтов</t>
        </is>
      </c>
      <c r="B5" s="3">
        <f>COUNTIF(Выдача!$D$2:$D$18,"Мини-сайт")</f>
        <v/>
      </c>
    </row>
    <row r="6">
      <c r="A6" s="2" t="inlineStr">
        <is>
          <t>Конкуренты в топ-10: средних</t>
        </is>
      </c>
      <c r="B6" s="3">
        <f>COUNTIF(Выдача!$D$2:$D$18,"Средний сайт")</f>
        <v/>
      </c>
    </row>
    <row r="7">
      <c r="A7" s="2" t="inlineStr">
        <is>
          <t>Конкуренты в топ-10: больших</t>
        </is>
      </c>
      <c r="B7" s="3">
        <f>COUNTIF(Выдача!$D$2:$D$18,"Большой сайт")</f>
        <v/>
      </c>
    </row>
    <row r="8">
      <c r="A8" s="2" t="inlineStr">
        <is>
          <t>Конкуренты в топ-10: порталов, форумов, вики</t>
        </is>
      </c>
      <c r="B8" s="3">
        <f>COUNTIF(Выдача!$D$2:$D$18,"Портал / форум / вики")</f>
        <v/>
      </c>
    </row>
    <row r="9" ht="58" customHeight="1">
      <c r="A9" s="2" t="inlineStr">
        <is>
          <t>Почему отдельный сайт</t>
        </is>
      </c>
      <c r="B9" s="4" t="inlineStr">
        <is>
          <t>Самая «небольшая» выдача: почти весь топ — небольшие сайты. Спрос скромный, поэтому оба драгметалла на одном сайте.</t>
        </is>
      </c>
    </row>
    <row r="11">
      <c r="A11" s="5" t="inlineStr">
        <is>
          <t>Структура сайта</t>
        </is>
      </c>
    </row>
    <row r="12" ht="32" customHeight="1">
      <c r="A12" s="6" t="inlineStr">
        <is>
          <t>Страница / раздел</t>
        </is>
      </c>
      <c r="B12" s="6" t="inlineStr">
        <is>
          <t>№ у клиента</t>
        </is>
      </c>
      <c r="C12" s="6" t="inlineStr">
        <is>
          <t>Спрос, мес.</t>
        </is>
      </c>
      <c r="D12" s="6" t="inlineStr">
        <is>
          <t>Формат</t>
        </is>
      </c>
      <c r="E12" s="6" t="inlineStr">
        <is>
          <t>Главный запрос</t>
        </is>
      </c>
      <c r="F12" s="7" t="inlineStr"/>
    </row>
    <row r="13" ht="16" customHeight="1">
      <c r="A13" s="8" t="inlineStr">
        <is>
          <t>Серебрение</t>
        </is>
      </c>
      <c r="B13" s="9" t="n">
        <v>19</v>
      </c>
      <c r="C13" s="10">
        <f>SUMIFS(Частотка!$E$2:$E$6,Частотка!$B$2:$B$6,19)</f>
        <v/>
      </c>
      <c r="D13" s="9">
        <f>IF(C13=MAX($C$13:$C$14),"Главная страница",IF(C13&gt;=100,"Отдельная страница","Раздел"))</f>
        <v/>
      </c>
      <c r="E13" s="11" t="inlineStr">
        <is>
          <t>серебрение — 150</t>
        </is>
      </c>
    </row>
    <row r="14" ht="16" customHeight="1">
      <c r="A14" s="8" t="inlineStr">
        <is>
          <t>Золочение</t>
        </is>
      </c>
      <c r="B14" s="9" t="n">
        <v>20</v>
      </c>
      <c r="C14" s="10">
        <f>SUMIFS(Частотка!$E$2:$E$6,Частотка!$B$2:$B$6,20)</f>
        <v/>
      </c>
      <c r="D14" s="9">
        <f>IF(C14=MAX($C$13:$C$14),"Главная страница",IF(C14&gt;=100,"Отдельная страница","Раздел"))</f>
        <v/>
      </c>
      <c r="E14" s="11" t="inlineStr">
        <is>
          <t>гальваническое золочение — 150</t>
        </is>
      </c>
    </row>
    <row r="17">
      <c r="A17" s="12" t="inlineStr">
        <is>
          <t>Формат — формулой: у направления с наибольшим спросом — главная; от 100 запросов — отдельная страница; меньше — раздел. Спрос — Google (Ahrefs RU), с Яндексом примерно ×2–3.</t>
        </is>
      </c>
    </row>
  </sheetData>
  <mergeCells count="1"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42" customWidth="1" min="4" max="4"/>
    <col width="14" customWidth="1" min="5" max="5"/>
    <col width="10" customWidth="1" min="6" max="6"/>
    <col width="12" customWidth="1" min="7" max="7"/>
  </cols>
  <sheetData>
    <row r="1" ht="32" customHeight="1">
      <c r="A1" s="6" t="inlineStr">
        <is>
          <t>Кластер</t>
        </is>
      </c>
      <c r="B1" s="6" t="inlineStr">
        <is>
          <t>№ у клиента</t>
        </is>
      </c>
      <c r="C1" s="6" t="inlineStr">
        <is>
          <t>Направление клиента</t>
        </is>
      </c>
      <c r="D1" s="6" t="inlineStr">
        <is>
          <t>Запрос</t>
        </is>
      </c>
      <c r="E1" s="6" t="inlineStr">
        <is>
          <t>Объём, Google (Ahrefs RU), мес.</t>
        </is>
      </c>
      <c r="F1" s="6" t="inlineStr">
        <is>
          <t>KD</t>
        </is>
      </c>
      <c r="G1" s="6" t="inlineStr">
        <is>
          <t>Wordstat точная</t>
        </is>
      </c>
    </row>
    <row r="2" ht="16" customHeight="1">
      <c r="A2" s="11" t="inlineStr">
        <is>
          <t>Серебрение и золочение</t>
        </is>
      </c>
      <c r="B2" s="9" t="n">
        <v>19</v>
      </c>
      <c r="C2" s="11" t="inlineStr">
        <is>
          <t>Серебрение</t>
        </is>
      </c>
      <c r="D2" s="11" t="inlineStr">
        <is>
          <t>серебрение</t>
        </is>
      </c>
      <c r="E2" s="10" t="n">
        <v>150</v>
      </c>
      <c r="F2" s="9" t="n">
        <v>0</v>
      </c>
      <c r="G2" s="9" t="n"/>
    </row>
    <row r="3" ht="16" customHeight="1">
      <c r="A3" s="11" t="inlineStr">
        <is>
          <t>Серебрение и золочение</t>
        </is>
      </c>
      <c r="B3" s="9" t="n">
        <v>19</v>
      </c>
      <c r="C3" s="11" t="inlineStr">
        <is>
          <t>Серебрение</t>
        </is>
      </c>
      <c r="D3" s="11" t="inlineStr">
        <is>
          <t>гальваническое серебрение</t>
        </is>
      </c>
      <c r="E3" s="10" t="n">
        <v>150</v>
      </c>
      <c r="F3" s="9" t="n">
        <v>0</v>
      </c>
      <c r="G3" s="9" t="n"/>
    </row>
    <row r="4" ht="16" customHeight="1">
      <c r="A4" s="11" t="inlineStr">
        <is>
          <t>Серебрение и золочение</t>
        </is>
      </c>
      <c r="B4" s="9" t="n">
        <v>19</v>
      </c>
      <c r="C4" s="11" t="inlineStr">
        <is>
          <t>Серебрение</t>
        </is>
      </c>
      <c r="D4" s="11" t="inlineStr">
        <is>
          <t>серебрение металла</t>
        </is>
      </c>
      <c r="E4" s="10" t="n">
        <v>50</v>
      </c>
      <c r="F4" s="9" t="n">
        <v>0</v>
      </c>
      <c r="G4" s="9" t="n"/>
    </row>
    <row r="5" ht="16" customHeight="1">
      <c r="A5" s="11" t="inlineStr">
        <is>
          <t>Серебрение и золочение</t>
        </is>
      </c>
      <c r="B5" s="9" t="n">
        <v>20</v>
      </c>
      <c r="C5" s="11" t="inlineStr">
        <is>
          <t>Золочение</t>
        </is>
      </c>
      <c r="D5" s="11" t="inlineStr">
        <is>
          <t>гальваническое золочение</t>
        </is>
      </c>
      <c r="E5" s="10" t="n">
        <v>150</v>
      </c>
      <c r="F5" s="9" t="n">
        <v>0</v>
      </c>
      <c r="G5" s="9" t="n"/>
    </row>
    <row r="6" ht="16" customHeight="1">
      <c r="A6" s="11" t="inlineStr">
        <is>
          <t>Серебрение и золочение</t>
        </is>
      </c>
      <c r="B6" s="9" t="n">
        <v>20</v>
      </c>
      <c r="C6" s="11" t="inlineStr">
        <is>
          <t>Золочение</t>
        </is>
      </c>
      <c r="D6" s="11" t="inlineStr">
        <is>
          <t>золочение</t>
        </is>
      </c>
      <c r="E6" s="10" t="n">
        <v>100</v>
      </c>
      <c r="F6" s="9" t="n">
        <v>0</v>
      </c>
      <c r="G6" s="9" t="n"/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22" customWidth="1" min="4" max="4"/>
    <col width="24" customWidth="1" min="5" max="5"/>
    <col width="70" customWidth="1" min="6" max="6"/>
  </cols>
  <sheetData>
    <row r="1" ht="32" customHeight="1">
      <c r="A1" s="6" t="inlineStr">
        <is>
          <t>Кластер</t>
        </is>
      </c>
      <c r="B1" s="6" t="inlineStr">
        <is>
          <t>Запрос</t>
        </is>
      </c>
      <c r="C1" s="6" t="inlineStr">
        <is>
          <t>Позиция</t>
        </is>
      </c>
      <c r="D1" s="6" t="inlineStr">
        <is>
          <t>Тип сайта конкурента</t>
        </is>
      </c>
      <c r="E1" s="6" t="inlineStr">
        <is>
          <t>Сайт</t>
        </is>
      </c>
      <c r="F1" s="6" t="inlineStr">
        <is>
          <t>Страница в выдаче</t>
        </is>
      </c>
    </row>
    <row r="2" ht="16" customHeight="1">
      <c r="A2" s="11" t="inlineStr">
        <is>
          <t>Серебрение и золочение</t>
        </is>
      </c>
      <c r="B2" s="11" t="inlineStr">
        <is>
          <t>гальваническое серебрение</t>
        </is>
      </c>
      <c r="C2" s="9" t="n">
        <v>1</v>
      </c>
      <c r="D2" s="13" t="inlineStr">
        <is>
          <t>Средний сайт</t>
        </is>
      </c>
      <c r="E2" s="14" t="inlineStr">
        <is>
          <t>6mkm.ru</t>
        </is>
      </c>
      <c r="F2" s="14" t="inlineStr">
        <is>
          <t>https://6mkm.ru/serebrenie-v-domashnih-usloviyah/</t>
        </is>
      </c>
    </row>
    <row r="3" ht="16" customHeight="1">
      <c r="A3" s="11" t="inlineStr">
        <is>
          <t>Серебрение и золочение</t>
        </is>
      </c>
      <c r="B3" s="11" t="inlineStr">
        <is>
          <t>гальваническое серебрение</t>
        </is>
      </c>
      <c r="C3" s="9" t="n">
        <v>2</v>
      </c>
      <c r="D3" s="15" t="inlineStr">
        <is>
          <t>Мини-сайт</t>
        </is>
      </c>
      <c r="E3" s="14" t="inlineStr">
        <is>
          <t>plast-product.ru</t>
        </is>
      </c>
      <c r="F3" s="14" t="inlineStr">
        <is>
          <t>https://plast-product.ru/galvanicheskoe-serebrenie/</t>
        </is>
      </c>
    </row>
    <row r="4" ht="16" customHeight="1">
      <c r="A4" s="11" t="inlineStr">
        <is>
          <t>Серебрение и золочение</t>
        </is>
      </c>
      <c r="B4" s="11" t="inlineStr">
        <is>
          <t>гальваническое серебрение</t>
        </is>
      </c>
      <c r="C4" s="9" t="n">
        <v>3</v>
      </c>
      <c r="D4" s="15" t="inlineStr">
        <is>
          <t>Мини-сайт</t>
        </is>
      </c>
      <c r="E4" s="14" t="inlineStr">
        <is>
          <t>kaas.spb.ru</t>
        </is>
      </c>
      <c r="F4" s="14" t="inlineStr">
        <is>
          <t>https://kaas.spb.ru/serebrenie/</t>
        </is>
      </c>
    </row>
    <row r="5" ht="16" customHeight="1">
      <c r="A5" s="11" t="inlineStr">
        <is>
          <t>Серебрение и золочение</t>
        </is>
      </c>
      <c r="B5" s="11" t="inlineStr">
        <is>
          <t>гальваническое серебрение</t>
        </is>
      </c>
      <c r="C5" s="9" t="n">
        <v>5</v>
      </c>
      <c r="D5" s="15" t="inlineStr">
        <is>
          <t>Мини-сайт</t>
        </is>
      </c>
      <c r="E5" s="14" t="inlineStr">
        <is>
          <t>ntmsp.ru</t>
        </is>
      </c>
      <c r="F5" s="14" t="inlineStr">
        <is>
          <t>https://ntmsp.ru/serebrenie/</t>
        </is>
      </c>
    </row>
    <row r="6" ht="16" customHeight="1">
      <c r="A6" s="11" t="inlineStr">
        <is>
          <t>Серебрение и золочение</t>
        </is>
      </c>
      <c r="B6" s="11" t="inlineStr">
        <is>
          <t>гальваническое серебрение</t>
        </is>
      </c>
      <c r="C6" s="9" t="n">
        <v>6</v>
      </c>
      <c r="D6" s="15" t="inlineStr">
        <is>
          <t>Мини-сайт</t>
        </is>
      </c>
      <c r="E6" s="14" t="inlineStr">
        <is>
          <t>funchrome.ru</t>
        </is>
      </c>
      <c r="F6" s="14" t="inlineStr">
        <is>
          <t>https://funchrome.ru/product/serebreniye-medi-bronzy-latuni/</t>
        </is>
      </c>
    </row>
    <row r="7" ht="16" customHeight="1">
      <c r="A7" s="11" t="inlineStr">
        <is>
          <t>Серебрение и золочение</t>
        </is>
      </c>
      <c r="B7" s="11" t="inlineStr">
        <is>
          <t>гальваническое серебрение</t>
        </is>
      </c>
      <c r="C7" s="9" t="n">
        <v>7</v>
      </c>
      <c r="D7" s="15" t="inlineStr">
        <is>
          <t>Мини-сайт</t>
        </is>
      </c>
      <c r="E7" s="14" t="inlineStr">
        <is>
          <t>pjew.ru</t>
        </is>
      </c>
      <c r="F7" s="14" t="inlineStr">
        <is>
          <t>https://pjew.ru/galvanika/cherkovnaya/services/serebrenie/</t>
        </is>
      </c>
    </row>
    <row r="8" ht="16" customHeight="1">
      <c r="A8" s="11" t="inlineStr">
        <is>
          <t>Серебрение и золочение</t>
        </is>
      </c>
      <c r="B8" s="11" t="inlineStr">
        <is>
          <t>гальваническое серебрение</t>
        </is>
      </c>
      <c r="C8" s="9" t="n">
        <v>8</v>
      </c>
      <c r="D8" s="15" t="inlineStr">
        <is>
          <t>Мини-сайт</t>
        </is>
      </c>
      <c r="E8" s="14" t="inlineStr">
        <is>
          <t>vskplast.ru</t>
        </is>
      </c>
      <c r="F8" s="14" t="inlineStr">
        <is>
          <t>https://vskplast.ru/serebrenie_galvanicheskoe/</t>
        </is>
      </c>
    </row>
    <row r="9" ht="16" customHeight="1">
      <c r="A9" s="11" t="inlineStr">
        <is>
          <t>Серебрение и золочение</t>
        </is>
      </c>
      <c r="B9" s="11" t="inlineStr">
        <is>
          <t>гальваническое серебрение</t>
        </is>
      </c>
      <c r="C9" s="9" t="n">
        <v>9</v>
      </c>
      <c r="D9" s="16" t="inlineStr">
        <is>
          <t>Портал / форум / вики</t>
        </is>
      </c>
      <c r="E9" s="14" t="inlineStr">
        <is>
          <t>chemport.ru</t>
        </is>
      </c>
      <c r="F9" s="14" t="inlineStr">
        <is>
          <t>https://chemport.ru/forum/viewtopic.php?t=5954</t>
        </is>
      </c>
    </row>
    <row r="10" ht="16" customHeight="1">
      <c r="A10" s="11" t="inlineStr">
        <is>
          <t>Серебрение и золочение</t>
        </is>
      </c>
      <c r="B10" s="11" t="inlineStr">
        <is>
          <t>гальваническое серебрение</t>
        </is>
      </c>
      <c r="C10" s="9" t="n">
        <v>10</v>
      </c>
      <c r="D10" s="15" t="inlineStr">
        <is>
          <t>Мини-сайт</t>
        </is>
      </c>
      <c r="E10" s="14" t="inlineStr">
        <is>
          <t>elmaru.ru</t>
        </is>
      </c>
      <c r="F10" s="14" t="inlineStr">
        <is>
          <t>https://elmaru.ru/process/galvanicheskoe-osazhdenie-serebra-elnis-1000/</t>
        </is>
      </c>
    </row>
    <row r="11" ht="16" customHeight="1">
      <c r="A11" s="11" t="inlineStr">
        <is>
          <t>Серебрение и золочение</t>
        </is>
      </c>
      <c r="B11" s="11" t="inlineStr">
        <is>
          <t>гальваническое золочение</t>
        </is>
      </c>
      <c r="C11" s="9" t="n">
        <v>2</v>
      </c>
      <c r="D11" s="16" t="inlineStr">
        <is>
          <t>Портал / форум / вики</t>
        </is>
      </c>
      <c r="E11" s="14" t="inlineStr">
        <is>
          <t>ozon.ru</t>
        </is>
      </c>
      <c r="F11" s="14" t="inlineStr">
        <is>
          <t>https://www.ozon.ru/galvanicheskoe-zolochenie</t>
        </is>
      </c>
    </row>
    <row r="12" ht="16" customHeight="1">
      <c r="A12" s="11" t="inlineStr">
        <is>
          <t>Серебрение и золочение</t>
        </is>
      </c>
      <c r="B12" s="11" t="inlineStr">
        <is>
          <t>гальваническое золочение</t>
        </is>
      </c>
      <c r="C12" s="9" t="n">
        <v>3</v>
      </c>
      <c r="D12" s="15" t="inlineStr">
        <is>
          <t>Мини-сайт</t>
        </is>
      </c>
      <c r="E12" s="14" t="inlineStr">
        <is>
          <t>plast-product.ru</t>
        </is>
      </c>
      <c r="F12" s="14" t="inlineStr">
        <is>
          <t>https://plast-product.ru/Полезное</t>
        </is>
      </c>
    </row>
    <row r="13" ht="16" customHeight="1">
      <c r="A13" s="11" t="inlineStr">
        <is>
          <t>Серебрение и золочение</t>
        </is>
      </c>
      <c r="B13" s="11" t="inlineStr">
        <is>
          <t>гальваническое золочение</t>
        </is>
      </c>
      <c r="C13" s="9" t="n">
        <v>4</v>
      </c>
      <c r="D13" s="13" t="inlineStr">
        <is>
          <t>Средний сайт</t>
        </is>
      </c>
      <c r="E13" s="14" t="inlineStr">
        <is>
          <t>6mkm.ru</t>
        </is>
      </c>
      <c r="F13" s="14" t="inlineStr">
        <is>
          <t>https://6mkm.ru/Наши</t>
        </is>
      </c>
    </row>
    <row r="14" ht="16" customHeight="1">
      <c r="A14" s="11" t="inlineStr">
        <is>
          <t>Серебрение и золочение</t>
        </is>
      </c>
      <c r="B14" s="11" t="inlineStr">
        <is>
          <t>гальваническое золочение</t>
        </is>
      </c>
      <c r="C14" s="9" t="n">
        <v>5</v>
      </c>
      <c r="D14" s="15" t="inlineStr">
        <is>
          <t>Мини-сайт</t>
        </is>
      </c>
      <c r="E14" s="14" t="inlineStr">
        <is>
          <t>mademetall.ru</t>
        </is>
      </c>
      <c r="F14" s="14" t="inlineStr">
        <is>
          <t>https://mademetall.ru/</t>
        </is>
      </c>
    </row>
    <row r="15" ht="16" customHeight="1">
      <c r="A15" s="11" t="inlineStr">
        <is>
          <t>Серебрение и золочение</t>
        </is>
      </c>
      <c r="B15" s="11" t="inlineStr">
        <is>
          <t>гальваническое золочение</t>
        </is>
      </c>
      <c r="C15" s="9" t="n">
        <v>7</v>
      </c>
      <c r="D15" s="15" t="inlineStr">
        <is>
          <t>Мини-сайт</t>
        </is>
      </c>
      <c r="E15" s="14" t="inlineStr">
        <is>
          <t>kr-presnya.ru</t>
        </is>
      </c>
      <c r="F15" s="14" t="inlineStr">
        <is>
          <t>https://kr-presnya.ru/galvanicheskie-pokrytiya</t>
        </is>
      </c>
    </row>
    <row r="16" ht="16" customHeight="1">
      <c r="A16" s="11" t="inlineStr">
        <is>
          <t>Серебрение и золочение</t>
        </is>
      </c>
      <c r="B16" s="11" t="inlineStr">
        <is>
          <t>гальваническое золочение</t>
        </is>
      </c>
      <c r="C16" s="9" t="n">
        <v>8</v>
      </c>
      <c r="D16" s="15" t="inlineStr">
        <is>
          <t>Мини-сайт</t>
        </is>
      </c>
      <c r="E16" s="14" t="inlineStr">
        <is>
          <t>vskplast.ru</t>
        </is>
      </c>
      <c r="F16" s="14" t="inlineStr">
        <is>
          <t>https://vskplast.ru/Статьи</t>
        </is>
      </c>
    </row>
    <row r="17" ht="16" customHeight="1">
      <c r="A17" s="11" t="inlineStr">
        <is>
          <t>Серебрение и золочение</t>
        </is>
      </c>
      <c r="B17" s="11" t="inlineStr">
        <is>
          <t>гальваническое золочение</t>
        </is>
      </c>
      <c r="C17" s="9" t="n">
        <v>9</v>
      </c>
      <c r="D17" s="15" t="inlineStr">
        <is>
          <t>Мини-сайт</t>
        </is>
      </c>
      <c r="E17" s="14" t="inlineStr">
        <is>
          <t>funchrome.ru</t>
        </is>
      </c>
      <c r="F17" s="14" t="inlineStr">
        <is>
          <t>https://funchrome.ru/</t>
        </is>
      </c>
    </row>
    <row r="18" ht="16" customHeight="1">
      <c r="A18" s="11" t="inlineStr">
        <is>
          <t>Серебрение и золочение</t>
        </is>
      </c>
      <c r="B18" s="11" t="inlineStr">
        <is>
          <t>гальваническое золочение</t>
        </is>
      </c>
      <c r="C18" s="9" t="n">
        <v>10</v>
      </c>
      <c r="D18" s="16" t="inlineStr">
        <is>
          <t>Портал / форум / вики</t>
        </is>
      </c>
      <c r="E18" s="14" t="inlineStr">
        <is>
          <t>forum-galvanik.ru</t>
        </is>
      </c>
      <c r="F18" s="14" t="inlineStr">
        <is>
          <t>https://forum-galvanik.ru/topic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2026-09-15T16:46:35Z</dcterms:created>
  <dcterms:modified xmlns:dcterms="http://purl.org/dc/terms/" xmlns:xsi="http://www.w3.org/2001/XMLSchema-instance" xsi:type="dcterms:W3CDTF">2026-09-15T16:46:35Z</dcterms:modified>
</cp:coreProperties>
</file>
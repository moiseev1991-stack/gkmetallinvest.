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  <sheet xmlns:r="http://schemas.openxmlformats.org/officeDocument/2006/relationships" name="Выдача" sheetId="2" state="visible" r:id="rId2"/>
    <sheet xmlns:r="http://schemas.openxmlformats.org/officeDocument/2006/relationships" name="Запросы" sheetId="3" state="visible" r:id="rId3"/>
  </sheets>
  <definedNames>
    <definedName name="_xlnm._FilterDatabase" localSheetId="0" hidden="1">'План'!$A$1:$M$14</definedName>
    <definedName name="_xlnm._FilterDatabase" localSheetId="1" hidden="1">'Выдача'!$A$1:$E$198</definedName>
    <definedName name="_xlnm._FilterDatabase" localSheetId="2" hidden="1">'Запросы'!$A$1:$C$109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E4DFE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B66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9" fontId="3" fillId="0" borderId="1" applyAlignment="1" pivotButton="0" quotePrefix="0" xfId="0">
      <alignment horizontal="center" vertical="top"/>
    </xf>
    <xf numFmtId="0" fontId="2" fillId="8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 wrapText="1"/>
    </xf>
    <xf numFmtId="3" fontId="2" fillId="0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top"/>
    </xf>
    <xf numFmtId="0" fontId="3" fillId="5" borderId="2" applyAlignment="1" pivotButton="0" quotePrefix="0" xfId="0">
      <alignment horizontal="center" vertical="top"/>
    </xf>
    <xf numFmtId="0" fontId="3" fillId="6" borderId="2" applyAlignment="1" pivotButton="0" quotePrefix="0" xfId="0">
      <alignment horizontal="center" vertical="top"/>
    </xf>
    <xf numFmtId="0" fontId="3" fillId="7" borderId="2" applyAlignment="1" pivotButton="0" quotePrefix="0" xfId="0">
      <alignment horizontal="center" vertical="top"/>
    </xf>
    <xf numFmtId="9" fontId="3" fillId="0" borderId="2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5" borderId="1" pivotButton="0" quotePrefix="0" xfId="0"/>
    <xf numFmtId="0" fontId="3" fillId="7" borderId="1" pivotButton="0" quotePrefix="0" xfId="0"/>
    <xf numFmtId="0" fontId="3" fillId="4" borderId="1" pivotButton="0" quotePrefix="0" xfId="0"/>
    <xf numFmtId="0" fontId="3" fillId="6" borderId="1" pivotButton="0" quotePrefix="0" xfId="0"/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30" customWidth="1" min="3" max="3"/>
    <col width="40" customWidth="1" min="4" max="4"/>
    <col width="12" customWidth="1" min="5" max="5"/>
    <col width="12" customWidth="1" min="6" max="6"/>
    <col width="9" customWidth="1" min="7" max="7"/>
    <col width="9" customWidth="1" min="8" max="8"/>
    <col width="12" customWidth="1" min="9" max="9"/>
    <col width="12" customWidth="1" min="10" max="10"/>
    <col width="26" customWidth="1" min="11" max="11"/>
    <col width="30" customWidth="1" min="12" max="12"/>
    <col width="60" customWidth="1" min="13" max="13"/>
  </cols>
  <sheetData>
    <row r="1" ht="42" customHeight="1">
      <c r="A1" s="1" t="inlineStr">
        <is>
          <t>Куда</t>
        </is>
      </c>
      <c r="B1" s="1" t="inlineStr">
        <is>
          <t>Очередь</t>
        </is>
      </c>
      <c r="C1" s="1" t="inlineStr">
        <is>
          <t>Сайт / страница</t>
        </is>
      </c>
      <c r="D1" s="1" t="inlineStr">
        <is>
          <t>Какие услуги входят (№ у клиента)</t>
        </is>
      </c>
      <c r="E1" s="1" t="inlineStr">
        <is>
          <t>Спрос, запросов в месяц</t>
        </is>
      </c>
      <c r="F1" s="1" t="inlineStr">
        <is>
          <t>Небольших сайтов в топ-10</t>
        </is>
      </c>
      <c r="G1" s="1" t="inlineStr">
        <is>
          <t>Средних</t>
        </is>
      </c>
      <c r="H1" s="1" t="inlineStr">
        <is>
          <t>Больших</t>
        </is>
      </c>
      <c r="I1" s="1" t="inlineStr">
        <is>
          <t>Порталов, форумов, вики</t>
        </is>
      </c>
      <c r="J1" s="1" t="inlineStr">
        <is>
          <t>Доля небольших и средних</t>
        </is>
      </c>
      <c r="K1" s="1" t="inlineStr">
        <is>
          <t>Сейчас на нашем сайте</t>
        </is>
      </c>
      <c r="L1" s="1" t="inlineStr">
        <is>
          <t>Адрес</t>
        </is>
      </c>
      <c r="M1" s="1" t="inlineStr">
        <is>
          <t>Почему так</t>
        </is>
      </c>
    </row>
    <row r="2" ht="67.5" customHeight="1">
      <c r="A2" s="2" t="inlineStr">
        <is>
          <t>Небольшой отдельный сайт</t>
        </is>
      </c>
      <c r="B2" s="3" t="n">
        <v>1</v>
      </c>
      <c r="C2" s="2" t="inlineStr">
        <is>
          <t>Анодирование</t>
        </is>
      </c>
      <c r="D2" s="4" t="inlineStr">
        <is>
          <t>№ 10 Анодирование алюминия (бцв, ч, нхр, нв); № 12 Анодирование титана (аноцвет); № 11 Твёрдое анодирование 20–40 и 40–60 мкм; № 13 Эматалирование; № 14 Анодирование хромовое; № 15 Хим. оксидирование алюминия (электропроводное)</t>
        </is>
      </c>
      <c r="E2" s="5">
        <f>SUMIFS(Запросы!$C$2:$C$109,Запросы!$A$2:$A$109,10)+SUMIFS(Запросы!$C$2:$C$109,Запросы!$A$2:$A$109,12)+SUMIFS(Запросы!$C$2:$C$109,Запросы!$A$2:$A$109,11)+SUMIFS(Запросы!$C$2:$C$109,Запросы!$A$2:$A$109,13)+SUMIFS(Запросы!$C$2:$C$109,Запросы!$A$2:$A$109,14)+SUMIFS(Запросы!$C$2:$C$109,Запросы!$A$2:$A$109,15)</f>
        <v/>
      </c>
      <c r="F2" s="6">
        <f>COUNTIFS(Выдача!$A$2:$A$198,"анодирование алюминия",Выдача!$C$2:$C$198,"Мини-сайт")+COUNTIFS(Выдача!$A$2:$A$198,"анодирование титана",Выдача!$C$2:$C$198,"Мини-сайт")+COUNTIFS(Выдача!$A$2:$A$198,"химическое оксидирование алюминия",Выдача!$C$2:$C$198,"Мини-сайт")</f>
        <v/>
      </c>
      <c r="G2" s="7">
        <f>COUNTIFS(Выдача!$A$2:$A$198,"анодирование алюминия",Выдача!$C$2:$C$198,"Средний сайт")+COUNTIFS(Выдача!$A$2:$A$198,"анодирование титана",Выдача!$C$2:$C$198,"Средний сайт")+COUNTIFS(Выдача!$A$2:$A$198,"химическое оксидирование алюминия",Выдача!$C$2:$C$198,"Средний сайт")</f>
        <v/>
      </c>
      <c r="H2" s="8">
        <f>COUNTIFS(Выдача!$A$2:$A$198,"анодирование алюминия",Выдача!$C$2:$C$198,"Большой сайт")+COUNTIFS(Выдача!$A$2:$A$198,"анодирование титана",Выдача!$C$2:$C$198,"Большой сайт")+COUNTIFS(Выдача!$A$2:$A$198,"химическое оксидирование алюминия",Выдача!$C$2:$C$198,"Большой сайт")</f>
        <v/>
      </c>
      <c r="I2" s="9">
        <f>COUNTIFS(Выдача!$A$2:$A$198,"анодирование алюминия",Выдача!$C$2:$C$198,"Портал / форум / вики")+COUNTIFS(Выдача!$A$2:$A$198,"анодирование титана",Выдача!$C$2:$C$198,"Портал / форум / вики")+COUNTIFS(Выдача!$A$2:$A$198,"химическое оксидирование алюминия",Выдача!$C$2:$C$198,"Портал / форум / вики")</f>
        <v/>
      </c>
      <c r="J2" s="10">
        <f>IFERROR((F2+G2)/(F2+G2+H2+I2),"—")</f>
        <v/>
      </c>
      <c r="K2" s="4" t="inlineStr">
        <is>
          <t>Нет</t>
        </is>
      </c>
      <c r="L2" s="4" t="inlineStr">
        <is>
          <t>отдельный домен</t>
        </is>
      </c>
      <c r="M2" s="4" t="inlineStr">
        <is>
          <t>Самый большой спрос из покрытий. В топе узкие небольшие сайты анодирования (oxi-pro, metallcleaner, atissteel), больших игроков нет. От нержавейки далеко. Алюминий, титан, твёрдое анодирование, эматаль и хим. оксидирование алюминия — разделы одного сайта.</t>
        </is>
      </c>
    </row>
    <row r="3" ht="67.5" customHeight="1">
      <c r="A3" s="2" t="inlineStr">
        <is>
          <t>Небольшой отдельный сайт</t>
        </is>
      </c>
      <c r="B3" s="3" t="n">
        <v>1</v>
      </c>
      <c r="C3" s="2" t="inlineStr">
        <is>
          <t>Цинкование и кадмирование</t>
        </is>
      </c>
      <c r="D3" s="4" t="inlineStr">
        <is>
          <t>№ 1 Цинкование (бцв, хр, чёрное — П.бцв, П.хр, П.ч); № 2 Кадмирование (бцв, хр); № 21 Кадмирование (повтор № 2); № 22 Кадмирование фосфатированное; № 24 Кадмирование фосфатированное с оксидированием; № 26 Свинцевание</t>
        </is>
      </c>
      <c r="E3" s="5">
        <f>SUMIFS(Запросы!$C$2:$C$109,Запросы!$A$2:$A$109,1)+SUMIFS(Запросы!$C$2:$C$109,Запросы!$A$2:$A$109,2)+SUMIFS(Запросы!$C$2:$C$109,Запросы!$A$2:$A$109,21)+SUMIFS(Запросы!$C$2:$C$109,Запросы!$A$2:$A$109,22)+SUMIFS(Запросы!$C$2:$C$109,Запросы!$A$2:$A$109,24)+SUMIFS(Запросы!$C$2:$C$109,Запросы!$A$2:$A$109,26)</f>
        <v/>
      </c>
      <c r="F3" s="6">
        <f>COUNTIFS(Выдача!$A$2:$A$198,"гальваническое цинкование",Выдача!$C$2:$C$198,"Мини-сайт")+COUNTIFS(Выдача!$A$2:$A$198,"цинкование металла",Выдача!$C$2:$C$198,"Мини-сайт")+COUNTIFS(Выдача!$A$2:$A$198,"кадмирование",Выдача!$C$2:$C$198,"Мини-сайт")</f>
        <v/>
      </c>
      <c r="G3" s="7">
        <f>COUNTIFS(Выдача!$A$2:$A$198,"гальваническое цинкование",Выдача!$C$2:$C$198,"Средний сайт")+COUNTIFS(Выдача!$A$2:$A$198,"цинкование металла",Выдача!$C$2:$C$198,"Средний сайт")+COUNTIFS(Выдача!$A$2:$A$198,"кадмирование",Выдача!$C$2:$C$198,"Средний сайт")</f>
        <v/>
      </c>
      <c r="H3" s="8">
        <f>COUNTIFS(Выдача!$A$2:$A$198,"гальваническое цинкование",Выдача!$C$2:$C$198,"Большой сайт")+COUNTIFS(Выдача!$A$2:$A$198,"цинкование металла",Выдача!$C$2:$C$198,"Большой сайт")+COUNTIFS(Выдача!$A$2:$A$198,"кадмирование",Выдача!$C$2:$C$198,"Большой сайт")</f>
        <v/>
      </c>
      <c r="I3" s="9">
        <f>COUNTIFS(Выдача!$A$2:$A$198,"гальваническое цинкование",Выдача!$C$2:$C$198,"Портал / форум / вики")+COUNTIFS(Выдача!$A$2:$A$198,"цинкование металла",Выдача!$C$2:$C$198,"Портал / форум / вики")+COUNTIFS(Выдача!$A$2:$A$198,"кадмирование",Выдача!$C$2:$C$198,"Портал / форум / вики")</f>
        <v/>
      </c>
      <c r="J3" s="10">
        <f>IFERROR((F3+G3)/(F3+G3+H3+I3),"—")</f>
        <v/>
      </c>
      <c r="K3" s="4" t="inlineStr">
        <is>
          <t>Нет</t>
        </is>
      </c>
      <c r="L3" s="4" t="inlineStr">
        <is>
          <t>отдельный домен</t>
        </is>
      </c>
      <c r="M3" s="4" t="inlineStr">
        <is>
          <t>Защитные покрытия стали — одна аудитория. В топе статьи и небольшие сайты (zincor-lkm, t-zinc, galvan.ru, npkhrom). Кадмирование и свинцевание — разделы. В текстах развести с горячим цинкованием.</t>
        </is>
      </c>
    </row>
    <row r="4" ht="30" customHeight="1">
      <c r="A4" s="2" t="inlineStr">
        <is>
          <t>Небольшой отдельный сайт</t>
        </is>
      </c>
      <c r="B4" s="3" t="n">
        <v>1</v>
      </c>
      <c r="C4" s="2" t="inlineStr">
        <is>
          <t>Никелирование</t>
        </is>
      </c>
      <c r="D4" s="4" t="inlineStr">
        <is>
          <t>№ 4 Гальваническое никелирование (блестящее); № 5 Химическое никелирование</t>
        </is>
      </c>
      <c r="E4" s="5">
        <f>SUMIFS(Запросы!$C$2:$C$109,Запросы!$A$2:$A$109,4)+SUMIFS(Запросы!$C$2:$C$109,Запросы!$A$2:$A$109,5)</f>
        <v/>
      </c>
      <c r="F4" s="6">
        <f>COUNTIFS(Выдача!$A$2:$A$198,"никелирование",Выдача!$C$2:$C$198,"Мини-сайт")+COUNTIFS(Выдача!$A$2:$A$198,"химическое никелирование",Выдача!$C$2:$C$198,"Мини-сайт")</f>
        <v/>
      </c>
      <c r="G4" s="7">
        <f>COUNTIFS(Выдача!$A$2:$A$198,"никелирование",Выдача!$C$2:$C$198,"Средний сайт")+COUNTIFS(Выдача!$A$2:$A$198,"химическое никелирование",Выдача!$C$2:$C$198,"Средний сайт")</f>
        <v/>
      </c>
      <c r="H4" s="8">
        <f>COUNTIFS(Выдача!$A$2:$A$198,"никелирование",Выдача!$C$2:$C$198,"Большой сайт")+COUNTIFS(Выдача!$A$2:$A$198,"химическое никелирование",Выдача!$C$2:$C$198,"Большой сайт")</f>
        <v/>
      </c>
      <c r="I4" s="9">
        <f>COUNTIFS(Выдача!$A$2:$A$198,"никелирование",Выдача!$C$2:$C$198,"Портал / форум / вики")+COUNTIFS(Выдача!$A$2:$A$198,"химическое никелирование",Выдача!$C$2:$C$198,"Портал / форум / вики")</f>
        <v/>
      </c>
      <c r="J4" s="10">
        <f>IFERROR((F4+G4)/(F4+G4+H4+I4),"—")</f>
        <v/>
      </c>
      <c r="K4" s="4" t="inlineStr">
        <is>
          <t>Нет</t>
        </is>
      </c>
      <c r="L4" s="4" t="inlineStr">
        <is>
          <t>отдельный домен</t>
        </is>
      </c>
      <c r="M4" s="4" t="inlineStr">
        <is>
          <t>В топе небольшие гальванические сайты (chemnikel, 6mkm, zctc), больших игроков нет. Химическое никелирование — раздел.</t>
        </is>
      </c>
    </row>
    <row r="5" ht="40.5" customHeight="1">
      <c r="A5" s="2" t="inlineStr">
        <is>
          <t>Небольшой отдельный сайт</t>
        </is>
      </c>
      <c r="B5" s="3" t="n">
        <v>1</v>
      </c>
      <c r="C5" s="2" t="inlineStr">
        <is>
          <t>Твёрдое хромирование</t>
        </is>
      </c>
      <c r="D5" s="4" t="inlineStr">
        <is>
          <t>№ 18 Хромирование твёрдое</t>
        </is>
      </c>
      <c r="E5" s="5">
        <f>SUMIFS(Запросы!$C$2:$C$109,Запросы!$A$2:$A$109,18)</f>
        <v/>
      </c>
      <c r="F5" s="6">
        <f>COUNTIFS(Выдача!$A$2:$A$198,"твердое хромирование",Выдача!$C$2:$C$198,"Мини-сайт")+COUNTIFS(Выдача!$A$2:$A$198,"хромирование деталей",Выдача!$C$2:$C$198,"Мини-сайт")</f>
        <v/>
      </c>
      <c r="G5" s="7">
        <f>COUNTIFS(Выдача!$A$2:$A$198,"твердое хромирование",Выдача!$C$2:$C$198,"Средний сайт")+COUNTIFS(Выдача!$A$2:$A$198,"хромирование деталей",Выдача!$C$2:$C$198,"Средний сайт")</f>
        <v/>
      </c>
      <c r="H5" s="8">
        <f>COUNTIFS(Выдача!$A$2:$A$198,"твердое хромирование",Выдача!$C$2:$C$198,"Большой сайт")+COUNTIFS(Выдача!$A$2:$A$198,"хромирование деталей",Выдача!$C$2:$C$198,"Большой сайт")</f>
        <v/>
      </c>
      <c r="I5" s="9">
        <f>COUNTIFS(Выдача!$A$2:$A$198,"твердое хромирование",Выдача!$C$2:$C$198,"Портал / форум / вики")+COUNTIFS(Выдача!$A$2:$A$198,"хромирование деталей",Выдача!$C$2:$C$198,"Портал / форум / вики")</f>
        <v/>
      </c>
      <c r="J5" s="10">
        <f>IFERROR((F5+G5)/(F5+G5+H5+I5),"—")</f>
        <v/>
      </c>
      <c r="K5" s="4" t="inlineStr">
        <is>
          <t>Нет</t>
        </is>
      </c>
      <c r="L5" s="4" t="inlineStr">
        <is>
          <t>отдельный домен</t>
        </is>
      </c>
      <c r="M5" s="4" t="inlineStr">
        <is>
          <t>По «твёрдому хромированию» топ — небольшие сайты гальваник (hrom-prom, galvanika-msk). «Хромирование деталей» уводит в автотюнинг и маркетплейсы — делать упор на техническое хромирование.</t>
        </is>
      </c>
    </row>
    <row r="6" ht="40.5" customHeight="1">
      <c r="A6" s="2" t="inlineStr">
        <is>
          <t>Небольшой отдельный сайт</t>
        </is>
      </c>
      <c r="B6" s="3" t="n">
        <v>2</v>
      </c>
      <c r="C6" s="2" t="inlineStr">
        <is>
          <t>Оксидирование и фосфатирование стали</t>
        </is>
      </c>
      <c r="D6" s="4" t="inlineStr">
        <is>
          <t>№ 9 Хим. оксидирование стали с промасливанием; № 23 Хим. фосфатирование с оксидированием</t>
        </is>
      </c>
      <c r="E6" s="5">
        <f>SUMIFS(Запросы!$C$2:$C$109,Запросы!$A$2:$A$109,9)+SUMIFS(Запросы!$C$2:$C$109,Запросы!$A$2:$A$109,23)</f>
        <v/>
      </c>
      <c r="F6" s="6">
        <f>COUNTIFS(Выдача!$A$2:$A$198,"оксидирование стали",Выдача!$C$2:$C$198,"Мини-сайт")+COUNTIFS(Выдача!$A$2:$A$198,"фосфатирование металла",Выдача!$C$2:$C$198,"Мини-сайт")</f>
        <v/>
      </c>
      <c r="G6" s="7">
        <f>COUNTIFS(Выдача!$A$2:$A$198,"оксидирование стали",Выдача!$C$2:$C$198,"Средний сайт")+COUNTIFS(Выдача!$A$2:$A$198,"фосфатирование металла",Выдача!$C$2:$C$198,"Средний сайт")</f>
        <v/>
      </c>
      <c r="H6" s="8">
        <f>COUNTIFS(Выдача!$A$2:$A$198,"оксидирование стали",Выдача!$C$2:$C$198,"Большой сайт")+COUNTIFS(Выдача!$A$2:$A$198,"фосфатирование металла",Выдача!$C$2:$C$198,"Большой сайт")</f>
        <v/>
      </c>
      <c r="I6" s="9">
        <f>COUNTIFS(Выдача!$A$2:$A$198,"оксидирование стали",Выдача!$C$2:$C$198,"Портал / форум / вики")+COUNTIFS(Выдача!$A$2:$A$198,"фосфатирование металла",Выдача!$C$2:$C$198,"Портал / форум / вики")</f>
        <v/>
      </c>
      <c r="J6" s="10">
        <f>IFERROR((F6+G6)/(F6+G6+H6+I6),"—")</f>
        <v/>
      </c>
      <c r="K6" s="4" t="inlineStr">
        <is>
          <t>Нет</t>
        </is>
      </c>
      <c r="L6" s="4" t="inlineStr">
        <is>
          <t>отдельный домен</t>
        </is>
      </c>
      <c r="M6" s="4" t="inlineStr">
        <is>
          <t>Спрос большой, но много бытовых запросов про воронение. В топе небольшие и средние сайты (smetiz, vskplast, zctc) — узкий сайт конкурентен.</t>
        </is>
      </c>
    </row>
    <row r="7" ht="30" customHeight="1">
      <c r="A7" s="2" t="inlineStr">
        <is>
          <t>Небольшой отдельный сайт</t>
        </is>
      </c>
      <c r="B7" s="3" t="n">
        <v>2</v>
      </c>
      <c r="C7" s="2" t="inlineStr">
        <is>
          <t>Оловянирование и меднение</t>
        </is>
      </c>
      <c r="D7" s="4" t="inlineStr">
        <is>
          <t>№ 16 Оловянирование; № 17 Олово-висмут (матовое); № 3 Меднение</t>
        </is>
      </c>
      <c r="E7" s="5">
        <f>SUMIFS(Запросы!$C$2:$C$109,Запросы!$A$2:$A$109,16)+SUMIFS(Запросы!$C$2:$C$109,Запросы!$A$2:$A$109,17)+SUMIFS(Запросы!$C$2:$C$109,Запросы!$A$2:$A$109,3)</f>
        <v/>
      </c>
      <c r="F7" s="6">
        <f>COUNTIFS(Выдача!$A$2:$A$198,"оловянирование",Выдача!$C$2:$C$198,"Мини-сайт")+COUNTIFS(Выдача!$A$2:$A$198,"покрытие олово-висмут",Выдача!$C$2:$C$198,"Мини-сайт")+COUNTIFS(Выдача!$A$2:$A$198,"гальваническое меднение",Выдача!$C$2:$C$198,"Мини-сайт")</f>
        <v/>
      </c>
      <c r="G7" s="7">
        <f>COUNTIFS(Выдача!$A$2:$A$198,"оловянирование",Выдача!$C$2:$C$198,"Средний сайт")+COUNTIFS(Выдача!$A$2:$A$198,"покрытие олово-висмут",Выдача!$C$2:$C$198,"Средний сайт")+COUNTIFS(Выдача!$A$2:$A$198,"гальваническое меднение",Выдача!$C$2:$C$198,"Средний сайт")</f>
        <v/>
      </c>
      <c r="H7" s="8">
        <f>COUNTIFS(Выдача!$A$2:$A$198,"оловянирование",Выдача!$C$2:$C$198,"Большой сайт")+COUNTIFS(Выдача!$A$2:$A$198,"покрытие олово-висмут",Выдача!$C$2:$C$198,"Большой сайт")+COUNTIFS(Выдача!$A$2:$A$198,"гальваническое меднение",Выдача!$C$2:$C$198,"Большой сайт")</f>
        <v/>
      </c>
      <c r="I7" s="9">
        <f>COUNTIFS(Выдача!$A$2:$A$198,"оловянирование",Выдача!$C$2:$C$198,"Портал / форум / вики")+COUNTIFS(Выдача!$A$2:$A$198,"покрытие олово-висмут",Выдача!$C$2:$C$198,"Портал / форум / вики")+COUNTIFS(Выдача!$A$2:$A$198,"гальваническое меднение",Выдача!$C$2:$C$198,"Портал / форум / вики")</f>
        <v/>
      </c>
      <c r="J7" s="10">
        <f>IFERROR((F7+G7)/(F7+G7+H7+I7),"—")</f>
        <v/>
      </c>
      <c r="K7" s="4" t="inlineStr">
        <is>
          <t>Нет</t>
        </is>
      </c>
      <c r="L7" s="4" t="inlineStr">
        <is>
          <t>отдельный домен</t>
        </is>
      </c>
      <c r="M7" s="4" t="inlineStr">
        <is>
          <t>Топ почти целиком из небольших сайтов гальваник. Олово, олово-висмут и медь — покрытия под пайку и электротехнику, одна аудитория.</t>
        </is>
      </c>
    </row>
    <row r="8" ht="30" customHeight="1">
      <c r="A8" s="2" t="inlineStr">
        <is>
          <t>Небольшой отдельный сайт</t>
        </is>
      </c>
      <c r="B8" s="3" t="n">
        <v>2</v>
      </c>
      <c r="C8" s="2" t="inlineStr">
        <is>
          <t>Серебрение и золочение</t>
        </is>
      </c>
      <c r="D8" s="4" t="inlineStr">
        <is>
          <t>№ 19 Серебрение; № 20 Золочение</t>
        </is>
      </c>
      <c r="E8" s="5">
        <f>SUMIFS(Запросы!$C$2:$C$109,Запросы!$A$2:$A$109,19)+SUMIFS(Запросы!$C$2:$C$109,Запросы!$A$2:$A$109,20)</f>
        <v/>
      </c>
      <c r="F8" s="6">
        <f>COUNTIFS(Выдача!$A$2:$A$198,"гальваническое серебрение",Выдача!$C$2:$C$198,"Мини-сайт")+COUNTIFS(Выдача!$A$2:$A$198,"гальваническое золочение",Выдача!$C$2:$C$198,"Мини-сайт")</f>
        <v/>
      </c>
      <c r="G8" s="7">
        <f>COUNTIFS(Выдача!$A$2:$A$198,"гальваническое серебрение",Выдача!$C$2:$C$198,"Средний сайт")+COUNTIFS(Выдача!$A$2:$A$198,"гальваническое золочение",Выдача!$C$2:$C$198,"Средний сайт")</f>
        <v/>
      </c>
      <c r="H8" s="8">
        <f>COUNTIFS(Выдача!$A$2:$A$198,"гальваническое серебрение",Выдача!$C$2:$C$198,"Большой сайт")+COUNTIFS(Выдача!$A$2:$A$198,"гальваническое золочение",Выдача!$C$2:$C$198,"Большой сайт")</f>
        <v/>
      </c>
      <c r="I8" s="9">
        <f>COUNTIFS(Выдача!$A$2:$A$198,"гальваническое серебрение",Выдача!$C$2:$C$198,"Портал / форум / вики")+COUNTIFS(Выдача!$A$2:$A$198,"гальваническое золочение",Выдача!$C$2:$C$198,"Портал / форум / вики")</f>
        <v/>
      </c>
      <c r="J8" s="10">
        <f>IFERROR((F8+G8)/(F8+G8+H8+I8),"—")</f>
        <v/>
      </c>
      <c r="K8" s="4" t="inlineStr">
        <is>
          <t>Нет</t>
        </is>
      </c>
      <c r="L8" s="4" t="inlineStr">
        <is>
          <t>отдельный домен</t>
        </is>
      </c>
      <c r="M8" s="4" t="inlineStr">
        <is>
          <t>Самая «небольшая» выдача: почти весь топ — небольшие сайты. Спрос скромный, поэтому оба драгметалла на одном сайте.</t>
        </is>
      </c>
    </row>
    <row r="9" ht="40.5" customHeight="1">
      <c r="A9" s="11" t="inlineStr">
        <is>
          <t>Страница на нашем сайте</t>
        </is>
      </c>
      <c r="B9" s="12" t="n">
        <v>1</v>
      </c>
      <c r="C9" s="11" t="inlineStr">
        <is>
          <t>Лазерная резка (упор на нержавейку)</t>
        </is>
      </c>
      <c r="D9" s="13" t="inlineStr">
        <is>
          <t>№ 29 Лазерная резка</t>
        </is>
      </c>
      <c r="E9" s="14">
        <f>SUMIFS(Запросы!$C$2:$C$109,Запросы!$A$2:$A$109,29)</f>
        <v/>
      </c>
      <c r="F9" s="15">
        <f>COUNTIFS(Выдача!$A$2:$A$198,"лазерная резка нержавейки",Выдача!$C$2:$C$198,"Мини-сайт")+COUNTIFS(Выдача!$A$2:$A$198,"лазерная резка металла",Выдача!$C$2:$C$198,"Мини-сайт")</f>
        <v/>
      </c>
      <c r="G9" s="16">
        <f>COUNTIFS(Выдача!$A$2:$A$198,"лазерная резка нержавейки",Выдача!$C$2:$C$198,"Средний сайт")+COUNTIFS(Выдача!$A$2:$A$198,"лазерная резка металла",Выдача!$C$2:$C$198,"Средний сайт")</f>
        <v/>
      </c>
      <c r="H9" s="17">
        <f>COUNTIFS(Выдача!$A$2:$A$198,"лазерная резка нержавейки",Выдача!$C$2:$C$198,"Большой сайт")+COUNTIFS(Выдача!$A$2:$A$198,"лазерная резка металла",Выдача!$C$2:$C$198,"Большой сайт")</f>
        <v/>
      </c>
      <c r="I9" s="18">
        <f>COUNTIFS(Выдача!$A$2:$A$198,"лазерная резка нержавейки",Выдача!$C$2:$C$198,"Портал / форум / вики")+COUNTIFS(Выдача!$A$2:$A$198,"лазерная резка металла",Выдача!$C$2:$C$198,"Портал / форум / вики")</f>
        <v/>
      </c>
      <c r="J9" s="19">
        <f>IFERROR((F9+G9)/(F9+G9+H9+I9),"—")</f>
        <v/>
      </c>
      <c r="K9" s="13" t="inlineStr">
        <is>
          <t>Частично — /uslugi/perforaciya-listov/</t>
        </is>
      </c>
      <c r="L9" s="13" t="inlineStr">
        <is>
          <t>/uslugi/lazernaya-rezka/</t>
        </is>
      </c>
      <c r="M9" s="13" t="inlineStr">
        <is>
          <t>В топе страницы услуг внутри многостраничных сайтов металлообработки (promexcut, gravernu, metall-24). Резка нержавейки — профиль нашего сайта. Старые адреса /laser/ и /lasertrub/ перенаправить сюда.</t>
        </is>
      </c>
    </row>
    <row r="10" ht="30" customHeight="1">
      <c r="A10" s="20" t="inlineStr">
        <is>
          <t>Страница на нашем сайте</t>
        </is>
      </c>
      <c r="B10" s="21" t="n">
        <v>1</v>
      </c>
      <c r="C10" s="20" t="inlineStr">
        <is>
          <t>Травление и пассивация нержавейки</t>
        </is>
      </c>
      <c r="D10" s="4" t="inlineStr">
        <is>
          <t>№ 25 Пассивация; № 8 Хим. пас (травление нержавейки)</t>
        </is>
      </c>
      <c r="E10" s="5">
        <f>SUMIFS(Запросы!$C$2:$C$109,Запросы!$A$2:$A$109,25)+SUMIFS(Запросы!$C$2:$C$109,Запросы!$A$2:$A$109,8)</f>
        <v/>
      </c>
      <c r="F10" s="6">
        <f>COUNTIFS(Выдача!$A$2:$A$198,"пассивация нержавейки",Выдача!$C$2:$C$198,"Мини-сайт")+COUNTIFS(Выдача!$A$2:$A$198,"травление нержавеющей стали",Выдача!$C$2:$C$198,"Мини-сайт")</f>
        <v/>
      </c>
      <c r="G10" s="7">
        <f>COUNTIFS(Выдача!$A$2:$A$198,"пассивация нержавейки",Выдача!$C$2:$C$198,"Средний сайт")+COUNTIFS(Выдача!$A$2:$A$198,"травление нержавеющей стали",Выдача!$C$2:$C$198,"Средний сайт")</f>
        <v/>
      </c>
      <c r="H10" s="8">
        <f>COUNTIFS(Выдача!$A$2:$A$198,"пассивация нержавейки",Выдача!$C$2:$C$198,"Большой сайт")+COUNTIFS(Выдача!$A$2:$A$198,"травление нержавеющей стали",Выдача!$C$2:$C$198,"Большой сайт")</f>
        <v/>
      </c>
      <c r="I10" s="9">
        <f>COUNTIFS(Выдача!$A$2:$A$198,"пассивация нержавейки",Выдача!$C$2:$C$198,"Портал / форум / вики")+COUNTIFS(Выдача!$A$2:$A$198,"травление нержавеющей стали",Выдача!$C$2:$C$198,"Портал / форум / вики")</f>
        <v/>
      </c>
      <c r="J10" s="10">
        <f>IFERROR((F10+G10)/(F10+G10+H10+I10),"—")</f>
        <v/>
      </c>
      <c r="K10" s="4" t="inlineStr">
        <is>
          <t>Нет (упоминание в блоге)</t>
        </is>
      </c>
      <c r="L10" s="4" t="inlineStr">
        <is>
          <t>/uslugi/travlenie-i-passivaciya/</t>
        </is>
      </c>
      <c r="M10" s="4" t="inlineStr">
        <is>
          <t>Топ — статьи, услуг почти нет. Услуга напрямую про нержавейку и усиливает тематику нашего сайта.</t>
        </is>
      </c>
    </row>
    <row r="11" ht="40.5" customHeight="1">
      <c r="A11" s="20" t="inlineStr">
        <is>
          <t>Страница на нашем сайте</t>
        </is>
      </c>
      <c r="B11" s="21" t="n">
        <v>1</v>
      </c>
      <c r="C11" s="20" t="inlineStr">
        <is>
          <t>Гидроабразивная резка</t>
        </is>
      </c>
      <c r="D11" s="4" t="inlineStr">
        <is>
          <t>№ 30 Гидроабразивная резка</t>
        </is>
      </c>
      <c r="E11" s="5">
        <f>SUMIFS(Запросы!$C$2:$C$109,Запросы!$A$2:$A$109,30)</f>
        <v/>
      </c>
      <c r="F11" s="6">
        <f>COUNTIFS(Выдача!$A$2:$A$198,"гидроабразивная резка металла",Выдача!$C$2:$C$198,"Мини-сайт")</f>
        <v/>
      </c>
      <c r="G11" s="7">
        <f>COUNTIFS(Выдача!$A$2:$A$198,"гидроабразивная резка металла",Выдача!$C$2:$C$198,"Средний сайт")</f>
        <v/>
      </c>
      <c r="H11" s="8">
        <f>COUNTIFS(Выдача!$A$2:$A$198,"гидроабразивная резка металла",Выдача!$C$2:$C$198,"Большой сайт")</f>
        <v/>
      </c>
      <c r="I11" s="9">
        <f>COUNTIFS(Выдача!$A$2:$A$198,"гидроабразивная резка металла",Выдача!$C$2:$C$198,"Портал / форум / вики")</f>
        <v/>
      </c>
      <c r="J11" s="10">
        <f>IFERROR((F11+G11)/(F11+G11+H11+I11),"—")</f>
        <v/>
      </c>
      <c r="K11" s="4" t="inlineStr">
        <is>
          <t>Частично — /uslugi/perforaciya-listov/</t>
        </is>
      </c>
      <c r="L11" s="4" t="inlineStr">
        <is>
          <t>/uslugi/gidroabrazivnaya-rezka/</t>
        </is>
      </c>
      <c r="M11" s="4" t="inlineStr">
        <is>
          <t>Топ смешанный: небольшой kit-cut.ru и страницы услуг utk-steel, promexcut. Услуга металлообработки — место на нашем сайте. Старый адрес /gidroabraziv/ перенаправить сюда.</t>
        </is>
      </c>
    </row>
    <row r="12" ht="30" customHeight="1">
      <c r="A12" s="20" t="inlineStr">
        <is>
          <t>Страница на нашем сайте</t>
        </is>
      </c>
      <c r="B12" s="21" t="n">
        <v>1</v>
      </c>
      <c r="C12" s="20" t="inlineStr">
        <is>
          <t>Электрохимическая полировка нержавейки</t>
        </is>
      </c>
      <c r="D12" s="4" t="inlineStr">
        <is>
          <t>№ 6 Электрохимическое полирование (нерж.); № 7 Электроплазменная полировка</t>
        </is>
      </c>
      <c r="E12" s="5">
        <f>SUMIFS(Запросы!$C$2:$C$109,Запросы!$A$2:$A$109,6)+SUMIFS(Запросы!$C$2:$C$109,Запросы!$A$2:$A$109,7)</f>
        <v/>
      </c>
      <c r="F12" s="6">
        <f>COUNTIFS(Выдача!$A$2:$A$198,"электрохимическая полировка",Выдача!$C$2:$C$198,"Мини-сайт")</f>
        <v/>
      </c>
      <c r="G12" s="7">
        <f>COUNTIFS(Выдача!$A$2:$A$198,"электрохимическая полировка",Выдача!$C$2:$C$198,"Средний сайт")</f>
        <v/>
      </c>
      <c r="H12" s="8">
        <f>COUNTIFS(Выдача!$A$2:$A$198,"электрохимическая полировка",Выдача!$C$2:$C$198,"Большой сайт")</f>
        <v/>
      </c>
      <c r="I12" s="9">
        <f>COUNTIFS(Выдача!$A$2:$A$198,"электрохимическая полировка",Выдача!$C$2:$C$198,"Портал / форум / вики")</f>
        <v/>
      </c>
      <c r="J12" s="10">
        <f>IFERROR((F12+G12)/(F12+G12+H12+I12),"—")</f>
        <v/>
      </c>
      <c r="K12" s="4" t="inlineStr">
        <is>
          <t>Частично — /uslugi/polirovka/</t>
        </is>
      </c>
      <c r="L12" s="4" t="inlineStr">
        <is>
          <t>/uslugi/elektrohimicheskaya-polirovka/</t>
        </is>
      </c>
      <c r="M12" s="4" t="inlineStr">
        <is>
          <t>В топе статьи и форумы, услуг мало. Полировка нержавейки для пищевых линий — профиль нашего сайта. Электроплазменная полировка — раздел.</t>
        </is>
      </c>
    </row>
    <row r="13" ht="30" customHeight="1">
      <c r="A13" s="20" t="inlineStr">
        <is>
          <t>Страница на нашем сайте</t>
        </is>
      </c>
      <c r="B13" s="21" t="n">
        <v>1</v>
      </c>
      <c r="C13" s="20" t="inlineStr">
        <is>
          <t>Обзор «Гальванические покрытия»</t>
        </is>
      </c>
      <c r="D13" s="4" t="inlineStr">
        <is>
          <t>обзор гальваники</t>
        </is>
      </c>
      <c r="E13" s="5">
        <f>SUMIFS(Запросы!$C$2:$C$109,Запросы!$A$2:$A$109,"Хаб")</f>
        <v/>
      </c>
      <c r="F13" s="6">
        <f>COUNTIFS(Выдача!$A$2:$A$198,"гальванические покрытия",Выдача!$C$2:$C$198,"Мини-сайт")</f>
        <v/>
      </c>
      <c r="G13" s="7">
        <f>COUNTIFS(Выдача!$A$2:$A$198,"гальванические покрытия",Выдача!$C$2:$C$198,"Средний сайт")</f>
        <v/>
      </c>
      <c r="H13" s="8">
        <f>COUNTIFS(Выдача!$A$2:$A$198,"гальванические покрытия",Выдача!$C$2:$C$198,"Большой сайт")</f>
        <v/>
      </c>
      <c r="I13" s="9">
        <f>COUNTIFS(Выдача!$A$2:$A$198,"гальванические покрытия",Выдача!$C$2:$C$198,"Портал / форум / вики")</f>
        <v/>
      </c>
      <c r="J13" s="10">
        <f>IFERROR((F13+G13)/(F13+G13+H13+I13),"—")</f>
        <v/>
      </c>
      <c r="K13" s="4" t="inlineStr">
        <is>
          <t>Нет</t>
        </is>
      </c>
      <c r="L13" s="4" t="inlineStr">
        <is>
          <t>/uslugi/galvanicheskie-pokrytiya/</t>
        </is>
      </c>
      <c r="M13" s="4" t="inlineStr">
        <is>
          <t>Необязательно. Обзорная страница со ссылками на небольшие сайты покрытий; в топе обзорные статьи средних сайтов.</t>
        </is>
      </c>
    </row>
    <row r="14" ht="30" customHeight="1">
      <c r="A14" s="20" t="inlineStr">
        <is>
          <t>Страница на нашем сайте</t>
        </is>
      </c>
      <c r="B14" s="21" t="n">
        <v>2</v>
      </c>
      <c r="C14" s="20" t="inlineStr">
        <is>
          <t>Шлифовка: продольная и круглая</t>
        </is>
      </c>
      <c r="D14" s="4" t="inlineStr">
        <is>
          <t>№ 27 Шлифовка продольная; № 28 Шлифовка круглая</t>
        </is>
      </c>
      <c r="E14" s="5">
        <f>SUMIFS(Запросы!$C$2:$C$109,Запросы!$A$2:$A$109,27)+SUMIFS(Запросы!$C$2:$C$109,Запросы!$A$2:$A$109,28)</f>
        <v/>
      </c>
      <c r="F14" s="6">
        <f>COUNTIFS(Выдача!$A$2:$A$198,"круглая шлифовка",Выдача!$C$2:$C$198,"Мини-сайт")</f>
        <v/>
      </c>
      <c r="G14" s="7">
        <f>COUNTIFS(Выдача!$A$2:$A$198,"круглая шлифовка",Выдача!$C$2:$C$198,"Средний сайт")</f>
        <v/>
      </c>
      <c r="H14" s="8">
        <f>COUNTIFS(Выдача!$A$2:$A$198,"круглая шлифовка",Выдача!$C$2:$C$198,"Большой сайт")</f>
        <v/>
      </c>
      <c r="I14" s="9">
        <f>COUNTIFS(Выдача!$A$2:$A$198,"круглая шлифовка",Выдача!$C$2:$C$198,"Портал / форум / вики")</f>
        <v/>
      </c>
      <c r="J14" s="10">
        <f>IFERROR((F14+G14)/(F14+G14+H14+I14),"—")</f>
        <v/>
      </c>
      <c r="K14" s="4" t="inlineStr">
        <is>
          <t>Возможно — /uslugi/shlifovanie/</t>
        </is>
      </c>
      <c r="L14" s="4" t="inlineStr">
        <is>
          <t>/uslugi/shlifovanie/ или новая страница</t>
        </is>
      </c>
      <c r="M14" s="4" t="inlineStr">
        <is>
          <t>Уточнить у клиента. Круглая шлифовка — в топе небольшие заводы мехобработки. Если «продольная» — это шлифовка листа, страница уже есть.</t>
        </is>
      </c>
    </row>
    <row r="15">
      <c r="C15" s="22" t="n"/>
      <c r="E15" s="23" t="n"/>
    </row>
    <row r="16">
      <c r="C16" s="22" t="inlineStr">
        <is>
          <t>Небольших отдельных сайтов</t>
        </is>
      </c>
      <c r="E16" s="23">
        <f>COUNTIF($A$2:$A$14,"Небольшой отдельный сайт")</f>
        <v/>
      </c>
    </row>
    <row r="17">
      <c r="C17" s="22" t="inlineStr">
        <is>
          <t xml:space="preserve">  их суммарный спрос, мес.</t>
        </is>
      </c>
      <c r="E17" s="23">
        <f>SUMIF($A$2:$A$14,"Небольшой отдельный сайт",$E$2:$E$14)</f>
        <v/>
      </c>
    </row>
    <row r="18">
      <c r="C18" s="22" t="inlineStr">
        <is>
          <t>Страниц на нашем сайте</t>
        </is>
      </c>
      <c r="E18" s="23">
        <f>COUNTIF($A$2:$A$14,"Страница на нашем сайте")</f>
        <v/>
      </c>
    </row>
    <row r="19">
      <c r="C19" t="inlineStr">
        <is>
          <t xml:space="preserve">  их суммарный спрос, мес.</t>
        </is>
      </c>
      <c r="E19">
        <f>SUMIF($A$2:$A$14,"Страница на нашем сайте",$E$2:$E$14)</f>
        <v/>
      </c>
    </row>
    <row r="20">
      <c r="C20" s="24" t="n"/>
    </row>
    <row r="21">
      <c r="C21" s="24" t="inlineStr">
        <is>
          <t>«Небольших / средних / больших сайтов в топ-10» — это конкуренты в выдаче, не наш сайт. Небольшой — виден в Google RU по &lt;150 запросам (Ahrefs), средний — 150–1000, большой — &gt;1000. Считается по всем запросам группы (лист «Выдача»).</t>
        </is>
      </c>
    </row>
    <row r="22">
      <c r="C22" s="24" t="inlineStr">
        <is>
          <t>Логика: небольшой отдельный сайт — где в топе в основном узкие небольшие сайты и тема далека от нержавейки; наш сайт — где в топе страницы услуг многостраничных сайтов металлообработки или услуга напрямую про нержавейку.</t>
        </is>
      </c>
    </row>
    <row r="23">
      <c r="C23" s="24" t="inlineStr">
        <is>
          <t>Спрос — сумма объёмов запросов группы, Ahrefs, Россия, только Google; с Яндексом реальный спрос примерно в 2–3 раза выше. Выдача — Google RU, топ-10, 15.09.2026; Яндекс и Нижний Новгород не учтены.</t>
        </is>
      </c>
    </row>
    <row r="24">
      <c r="C24" t="inlineStr">
        <is>
          <t>Очередь: 1 — делать первыми, 2 — после. Внутри блока строки идут по очереди и спросу.</t>
        </is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22" customWidth="1" min="3" max="3"/>
    <col width="24" customWidth="1" min="4" max="4"/>
    <col width="70" customWidth="1" min="5" max="5"/>
  </cols>
  <sheetData>
    <row r="1">
      <c r="A1" s="25" t="inlineStr">
        <is>
          <t>Запрос</t>
        </is>
      </c>
      <c r="B1" s="25" t="inlineStr">
        <is>
          <t>Позиция</t>
        </is>
      </c>
      <c r="C1" s="25" t="inlineStr">
        <is>
          <t>Тип сайта конкурента</t>
        </is>
      </c>
      <c r="D1" s="25" t="inlineStr">
        <is>
          <t>Сайт</t>
        </is>
      </c>
      <c r="E1" s="25" t="inlineStr">
        <is>
          <t>Страница в выдаче</t>
        </is>
      </c>
    </row>
    <row r="2">
      <c r="A2" s="26" t="inlineStr">
        <is>
          <t>анодирование алюминия</t>
        </is>
      </c>
      <c r="B2" s="26" t="n">
        <v>2</v>
      </c>
      <c r="C2" s="27" t="inlineStr">
        <is>
          <t>Средний сайт</t>
        </is>
      </c>
      <c r="D2" s="26" t="inlineStr">
        <is>
          <t>fortis-steel.ru</t>
        </is>
      </c>
      <c r="E2" s="26" t="inlineStr">
        <is>
          <t>https://fortis-steel.ru/Услуги</t>
        </is>
      </c>
    </row>
    <row r="3">
      <c r="A3" s="26" t="inlineStr">
        <is>
          <t>анодирование алюминия</t>
        </is>
      </c>
      <c r="B3" s="26" t="n">
        <v>3</v>
      </c>
      <c r="C3" s="28" t="inlineStr">
        <is>
          <t>Портал / форум / вики</t>
        </is>
      </c>
      <c r="D3" s="26" t="inlineStr">
        <is>
          <t>drive2.ru</t>
        </is>
      </c>
      <c r="E3" s="26" t="inlineStr">
        <is>
          <t>https://www.drive2.ru/</t>
        </is>
      </c>
    </row>
    <row r="4">
      <c r="A4" s="26" t="inlineStr">
        <is>
          <t>анодирование алюминия</t>
        </is>
      </c>
      <c r="B4" s="26" t="n">
        <v>5</v>
      </c>
      <c r="C4" s="29" t="inlineStr">
        <is>
          <t>Мини-сайт</t>
        </is>
      </c>
      <c r="D4" s="26" t="inlineStr">
        <is>
          <t>metallcleaner.com</t>
        </is>
      </c>
      <c r="E4" s="26" t="inlineStr">
        <is>
          <t>https://metallcleaner.com/aluminiy-anodirovanie</t>
        </is>
      </c>
    </row>
    <row r="5">
      <c r="A5" s="26" t="inlineStr">
        <is>
          <t>анодирование алюминия</t>
        </is>
      </c>
      <c r="B5" s="26" t="n">
        <v>6</v>
      </c>
      <c r="C5" s="27" t="inlineStr">
        <is>
          <t>Средний сайт</t>
        </is>
      </c>
      <c r="D5" s="26" t="inlineStr">
        <is>
          <t>rtg-mps.ru</t>
        </is>
      </c>
      <c r="E5" s="26" t="inlineStr">
        <is>
          <t>https://rtg-mps.ru/Статьи</t>
        </is>
      </c>
    </row>
    <row r="6">
      <c r="A6" s="26" t="inlineStr">
        <is>
          <t>анодирование алюминия</t>
        </is>
      </c>
      <c r="B6" s="26" t="n">
        <v>7</v>
      </c>
      <c r="C6" s="29" t="inlineStr">
        <is>
          <t>Мини-сайт</t>
        </is>
      </c>
      <c r="D6" s="26" t="inlineStr">
        <is>
          <t>oxi-pro.ru</t>
        </is>
      </c>
      <c r="E6" s="26" t="inlineStr">
        <is>
          <t>https://oxi-pro.ru/chto-takoe-anodirovanie-alyuminiya</t>
        </is>
      </c>
    </row>
    <row r="7">
      <c r="A7" s="26" t="inlineStr">
        <is>
          <t>анодирование алюминия</t>
        </is>
      </c>
      <c r="B7" s="26" t="n">
        <v>8</v>
      </c>
      <c r="C7" s="27" t="inlineStr">
        <is>
          <t>Средний сайт</t>
        </is>
      </c>
      <c r="D7" s="26" t="inlineStr">
        <is>
          <t>atissteel.ru</t>
        </is>
      </c>
      <c r="E7" s="26" t="inlineStr">
        <is>
          <t>https://www.atissteel.ru/anodirovka-aljuminija</t>
        </is>
      </c>
    </row>
    <row r="8">
      <c r="A8" s="26" t="inlineStr">
        <is>
          <t>анодирование алюминия</t>
        </is>
      </c>
      <c r="B8" s="26" t="n">
        <v>9</v>
      </c>
      <c r="C8" s="29" t="inlineStr">
        <is>
          <t>Мини-сайт</t>
        </is>
      </c>
      <c r="D8" s="26" t="inlineStr">
        <is>
          <t>precision-machines.ru</t>
        </is>
      </c>
      <c r="E8" s="26" t="inlineStr">
        <is>
          <t>https://precision-machines.ru/viewtopic</t>
        </is>
      </c>
    </row>
    <row r="9">
      <c r="A9" s="26" t="inlineStr">
        <is>
          <t>анодирование алюминия</t>
        </is>
      </c>
      <c r="B9" s="26" t="n">
        <v>10</v>
      </c>
      <c r="C9" s="28" t="inlineStr">
        <is>
          <t>Портал / форум / вики</t>
        </is>
      </c>
      <c r="D9" s="26" t="inlineStr">
        <is>
          <t>ru.wikipedia.org</t>
        </is>
      </c>
      <c r="E9" s="26" t="inlineStr">
        <is>
          <t>https://ru.wikipedia.org/wiki/Анодирование</t>
        </is>
      </c>
    </row>
    <row r="10">
      <c r="A10" s="26" t="inlineStr">
        <is>
          <t>анодирование титана</t>
        </is>
      </c>
      <c r="B10" s="26" t="n">
        <v>2</v>
      </c>
      <c r="C10" s="27" t="inlineStr">
        <is>
          <t>Средний сайт</t>
        </is>
      </c>
      <c r="D10" s="26" t="inlineStr">
        <is>
          <t>zctc.ru</t>
        </is>
      </c>
      <c r="E10" s="26" t="inlineStr">
        <is>
          <t>https://zctc.ru/sections/anodirovanie-titana</t>
        </is>
      </c>
    </row>
    <row r="11">
      <c r="A11" s="26" t="inlineStr">
        <is>
          <t>анодирование титана</t>
        </is>
      </c>
      <c r="B11" s="26" t="n">
        <v>4</v>
      </c>
      <c r="C11" s="30" t="inlineStr">
        <is>
          <t>Большой сайт</t>
        </is>
      </c>
      <c r="D11" s="26" t="inlineStr">
        <is>
          <t>inner.su</t>
        </is>
      </c>
      <c r="E11" s="26" t="inlineStr">
        <is>
          <t>https://inner.su/Блог/Познавательное</t>
        </is>
      </c>
    </row>
    <row r="12">
      <c r="A12" s="26" t="inlineStr">
        <is>
          <t>анодирование титана</t>
        </is>
      </c>
      <c r="B12" s="26" t="n">
        <v>5</v>
      </c>
      <c r="C12" s="28" t="inlineStr">
        <is>
          <t>Портал / форум / вики</t>
        </is>
      </c>
      <c r="D12" s="26" t="inlineStr">
        <is>
          <t>forum.guns.ru</t>
        </is>
      </c>
      <c r="E12" s="26" t="inlineStr">
        <is>
          <t>https://forum.guns.ru/</t>
        </is>
      </c>
    </row>
    <row r="13">
      <c r="A13" s="26" t="inlineStr">
        <is>
          <t>анодирование титана</t>
        </is>
      </c>
      <c r="B13" s="26" t="n">
        <v>6</v>
      </c>
      <c r="C13" s="29" t="inlineStr">
        <is>
          <t>Мини-сайт</t>
        </is>
      </c>
      <c r="D13" s="26" t="inlineStr">
        <is>
          <t>friendsonly.ru</t>
        </is>
      </c>
      <c r="E13" s="26" t="inlineStr">
        <is>
          <t>https://friendsonly.ru/anodise</t>
        </is>
      </c>
    </row>
    <row r="14">
      <c r="A14" s="26" t="inlineStr">
        <is>
          <t>анодирование титана</t>
        </is>
      </c>
      <c r="B14" s="26" t="n">
        <v>7</v>
      </c>
      <c r="C14" s="28" t="inlineStr">
        <is>
          <t>Портал / форум / вики</t>
        </is>
      </c>
      <c r="D14" s="26" t="inlineStr">
        <is>
          <t>vk.com</t>
        </is>
      </c>
      <c r="E14" s="26" t="inlineStr">
        <is>
          <t>https://vk.com/wall-51126445_149263</t>
        </is>
      </c>
    </row>
    <row r="15">
      <c r="A15" s="26" t="inlineStr">
        <is>
          <t>анодирование титана</t>
        </is>
      </c>
      <c r="B15" s="26" t="n">
        <v>8</v>
      </c>
      <c r="C15" s="28" t="inlineStr">
        <is>
          <t>Портал / форум / вики</t>
        </is>
      </c>
      <c r="D15" s="26" t="inlineStr">
        <is>
          <t>google.com</t>
        </is>
      </c>
      <c r="E15" s="26" t="inlineStr">
        <is>
          <t>https://www.google.com/goto (переход)</t>
        </is>
      </c>
    </row>
    <row r="16">
      <c r="A16" s="26" t="inlineStr">
        <is>
          <t>анодирование титана</t>
        </is>
      </c>
      <c r="B16" s="26" t="n">
        <v>9</v>
      </c>
      <c r="C16" s="29" t="inlineStr">
        <is>
          <t>Мини-сайт</t>
        </is>
      </c>
      <c r="D16" s="26" t="inlineStr">
        <is>
          <t>arbormanufactory.ru</t>
        </is>
      </c>
      <c r="E16" s="26" t="inlineStr">
        <is>
          <t>https://arbormanufactory.ru/tsveta-titana</t>
        </is>
      </c>
    </row>
    <row r="17">
      <c r="A17" s="26" t="inlineStr">
        <is>
          <t>анодирование титана</t>
        </is>
      </c>
      <c r="B17" s="26" t="n">
        <v>10</v>
      </c>
      <c r="C17" s="29" t="inlineStr">
        <is>
          <t>Мини-сайт</t>
        </is>
      </c>
      <c r="D17" s="26" t="inlineStr">
        <is>
          <t>metallps.ru</t>
        </is>
      </c>
      <c r="E17" s="26" t="inlineStr">
        <is>
          <t>https://metallps.ru/anodirovanie-titana</t>
        </is>
      </c>
    </row>
    <row r="18">
      <c r="A18" s="26" t="inlineStr">
        <is>
          <t>химическое оксидирование алюминия</t>
        </is>
      </c>
      <c r="B18" s="26" t="n">
        <v>2</v>
      </c>
      <c r="C18" s="27" t="inlineStr">
        <is>
          <t>Средний сайт</t>
        </is>
      </c>
      <c r="D18" s="26" t="inlineStr">
        <is>
          <t>zctc.ru</t>
        </is>
      </c>
      <c r="E18" s="26" t="inlineStr">
        <is>
          <t>https://zctc.ru/Статьи</t>
        </is>
      </c>
    </row>
    <row r="19">
      <c r="A19" s="26" t="inlineStr">
        <is>
          <t>химическое оксидирование алюминия</t>
        </is>
      </c>
      <c r="B19" s="26" t="n">
        <v>3</v>
      </c>
      <c r="C19" s="31" t="inlineStr">
        <is>
          <t>Нет данных</t>
        </is>
      </c>
      <c r="D19" s="26" t="inlineStr">
        <is>
          <t>гальванопластика.рф</t>
        </is>
      </c>
      <c r="E19" s="26" t="inlineStr">
        <is>
          <t>https://гальванопластика.рф/product</t>
        </is>
      </c>
    </row>
    <row r="20">
      <c r="A20" s="26" t="inlineStr">
        <is>
          <t>химическое оксидирование алюминия</t>
        </is>
      </c>
      <c r="B20" s="26" t="n">
        <v>4</v>
      </c>
      <c r="C20" s="30" t="inlineStr">
        <is>
          <t>Большой сайт</t>
        </is>
      </c>
      <c r="D20" s="26" t="inlineStr">
        <is>
          <t>metallicheckiy-portal.ru</t>
        </is>
      </c>
      <c r="E20" s="26" t="inlineStr">
        <is>
          <t>https://metallicheckiy-portal.ru/articles/splavi_alyminia</t>
        </is>
      </c>
    </row>
    <row r="21">
      <c r="A21" s="26" t="inlineStr">
        <is>
          <t>химическое оксидирование алюминия</t>
        </is>
      </c>
      <c r="B21" s="26" t="n">
        <v>5</v>
      </c>
      <c r="C21" s="28" t="inlineStr">
        <is>
          <t>Портал / форум / вики</t>
        </is>
      </c>
      <c r="D21" s="26" t="inlineStr">
        <is>
          <t>studfile.net</t>
        </is>
      </c>
      <c r="E21" s="26" t="inlineStr">
        <is>
          <t>https://studfile.net/preview</t>
        </is>
      </c>
    </row>
    <row r="22">
      <c r="A22" s="26" t="inlineStr">
        <is>
          <t>химическое оксидирование алюминия</t>
        </is>
      </c>
      <c r="B22" s="26" t="n">
        <v>6</v>
      </c>
      <c r="C22" s="28" t="inlineStr">
        <is>
          <t>Портал / форум / вики</t>
        </is>
      </c>
      <c r="D22" s="26" t="inlineStr">
        <is>
          <t>biblioserver.usurt.ru</t>
        </is>
      </c>
      <c r="E22" s="26" t="inlineStr">
        <is>
          <t>https://biblioserver.usurt.ru/cgi-bin/cgiirbis_64 (PDF)</t>
        </is>
      </c>
    </row>
    <row r="23">
      <c r="A23" s="26" t="inlineStr">
        <is>
          <t>химическое оксидирование алюминия</t>
        </is>
      </c>
      <c r="B23" s="26" t="n">
        <v>8</v>
      </c>
      <c r="C23" s="29" t="inlineStr">
        <is>
          <t>Мини-сайт</t>
        </is>
      </c>
      <c r="D23" s="26" t="inlineStr">
        <is>
          <t>platings.ru</t>
        </is>
      </c>
      <c r="E23" s="26" t="inlineStr">
        <is>
          <t>https://platings.ru/chem_oks_aluminum</t>
        </is>
      </c>
    </row>
    <row r="24">
      <c r="A24" s="26" t="inlineStr">
        <is>
          <t>химическое оксидирование алюминия</t>
        </is>
      </c>
      <c r="B24" s="26" t="n">
        <v>9</v>
      </c>
      <c r="C24" s="27" t="inlineStr">
        <is>
          <t>Средний сайт</t>
        </is>
      </c>
      <c r="D24" s="26" t="inlineStr">
        <is>
          <t>ugreaktiv-galvanika.ru</t>
        </is>
      </c>
      <c r="E24" s="26" t="inlineStr">
        <is>
          <t>https://ugreaktiv-galvanika.ru/magazin-2/tag</t>
        </is>
      </c>
    </row>
    <row r="25">
      <c r="A25" s="26" t="inlineStr">
        <is>
          <t>химическое оксидирование алюминия</t>
        </is>
      </c>
      <c r="B25" s="26" t="n">
        <v>10</v>
      </c>
      <c r="C25" s="29" t="inlineStr">
        <is>
          <t>Мини-сайт</t>
        </is>
      </c>
      <c r="D25" s="26" t="inlineStr">
        <is>
          <t>aluminium-ukraine.com.ua</t>
        </is>
      </c>
      <c r="E25" s="26" t="inlineStr">
        <is>
          <t>https://aluminium-ukraine.com.ua/Статьи</t>
        </is>
      </c>
    </row>
    <row r="26">
      <c r="A26" s="26" t="inlineStr">
        <is>
          <t>гальваническое цинкование</t>
        </is>
      </c>
      <c r="B26" s="26" t="n">
        <v>2</v>
      </c>
      <c r="C26" s="27" t="inlineStr">
        <is>
          <t>Средний сайт</t>
        </is>
      </c>
      <c r="D26" s="26" t="inlineStr">
        <is>
          <t>zincor-lkm.ru</t>
        </is>
      </c>
      <c r="E26" s="26" t="inlineStr">
        <is>
          <t>https://zincor-lkm.ru/articles/cinkovanie-metalla/galvanicheskoe_cinkovanie/</t>
        </is>
      </c>
    </row>
    <row r="27">
      <c r="A27" s="26" t="inlineStr">
        <is>
          <t>гальваническое цинкование</t>
        </is>
      </c>
      <c r="B27" s="26" t="n">
        <v>4</v>
      </c>
      <c r="C27" s="29" t="inlineStr">
        <is>
          <t>Мини-сайт</t>
        </is>
      </c>
      <c r="D27" s="26" t="inlineStr">
        <is>
          <t>t-zinc.ru</t>
        </is>
      </c>
      <c r="E27" s="26" t="inlineStr">
        <is>
          <t>https://t-zinc.ru/o-kompanii/stati/texnologiya-galvanicheskogo-czinkovaniya.html</t>
        </is>
      </c>
    </row>
    <row r="28">
      <c r="A28" s="26" t="inlineStr">
        <is>
          <t>гальваническое цинкование</t>
        </is>
      </c>
      <c r="B28" s="26" t="n">
        <v>5</v>
      </c>
      <c r="C28" s="28" t="inlineStr">
        <is>
          <t>Портал / форум / вики</t>
        </is>
      </c>
      <c r="D28" s="26" t="inlineStr">
        <is>
          <t>drive2.ru</t>
        </is>
      </c>
      <c r="E28" s="26" t="inlineStr">
        <is>
          <t>https://www.drive2.ru/b/571998110557929989/</t>
        </is>
      </c>
    </row>
    <row r="29">
      <c r="A29" s="26" t="inlineStr">
        <is>
          <t>гальваническое цинкование</t>
        </is>
      </c>
      <c r="B29" s="26" t="n">
        <v>6</v>
      </c>
      <c r="C29" s="27" t="inlineStr">
        <is>
          <t>Средний сайт</t>
        </is>
      </c>
      <c r="D29" s="26" t="inlineStr">
        <is>
          <t>zavod-kmk.ru</t>
        </is>
      </c>
      <c r="E29" s="26" t="inlineStr">
        <is>
          <t>https://zavod-kmk.ru/info/galvanicheskoe-cinkovanie-metalla-tekhnologiya</t>
        </is>
      </c>
    </row>
    <row r="30">
      <c r="A30" s="26" t="inlineStr">
        <is>
          <t>гальваническое цинкование</t>
        </is>
      </c>
      <c r="B30" s="26" t="n">
        <v>9</v>
      </c>
      <c r="C30" s="28" t="inlineStr">
        <is>
          <t>Портал / форум / вики</t>
        </is>
      </c>
      <c r="D30" s="26" t="inlineStr">
        <is>
          <t>biblioserver.usurt.ru</t>
        </is>
      </c>
      <c r="E30" s="26" t="inlineStr">
        <is>
          <t>https://biblioserver.usurt.ru/cgi-bin/irbis64r_13/cgiirbis_64.exe (PDF)</t>
        </is>
      </c>
    </row>
    <row r="31">
      <c r="A31" s="26" t="inlineStr">
        <is>
          <t>гальваническое цинкование</t>
        </is>
      </c>
      <c r="B31" s="26" t="n">
        <v>10</v>
      </c>
      <c r="C31" s="29" t="inlineStr">
        <is>
          <t>Мини-сайт</t>
        </is>
      </c>
      <c r="D31" s="26" t="inlineStr">
        <is>
          <t>fcm-terminal.com</t>
        </is>
      </c>
      <c r="E31" s="26" t="inlineStr">
        <is>
          <t>https://fcm-terminal.com/services/galvanized</t>
        </is>
      </c>
    </row>
    <row r="32">
      <c r="A32" s="26" t="inlineStr">
        <is>
          <t>цинкование металла</t>
        </is>
      </c>
      <c r="B32" s="26" t="n">
        <v>2</v>
      </c>
      <c r="C32" s="28" t="inlineStr">
        <is>
          <t>Портал / форум / вики</t>
        </is>
      </c>
      <c r="D32" s="26" t="inlineStr">
        <is>
          <t>drive2.ru</t>
        </is>
      </c>
      <c r="E32" s="26" t="inlineStr">
        <is>
          <t>https://www.drive2.ru/b/571998110557929989/</t>
        </is>
      </c>
    </row>
    <row r="33">
      <c r="A33" s="26" t="inlineStr">
        <is>
          <t>цинкование металла</t>
        </is>
      </c>
      <c r="B33" s="26" t="n">
        <v>3</v>
      </c>
      <c r="C33" s="27" t="inlineStr">
        <is>
          <t>Средний сайт</t>
        </is>
      </c>
      <c r="D33" s="26" t="inlineStr">
        <is>
          <t>zavod-kmk.ru</t>
        </is>
      </c>
      <c r="E33" s="26" t="inlineStr">
        <is>
          <t>https://zavod-kmk.ru/info/vidy-tsinkovaniya-metalla</t>
        </is>
      </c>
    </row>
    <row r="34">
      <c r="A34" s="26" t="inlineStr">
        <is>
          <t>цинкование металла</t>
        </is>
      </c>
      <c r="B34" s="26" t="n">
        <v>5</v>
      </c>
      <c r="C34" s="29" t="inlineStr">
        <is>
          <t>Мини-сайт</t>
        </is>
      </c>
      <c r="D34" s="26" t="inlineStr">
        <is>
          <t>centr-zinc.ru</t>
        </is>
      </c>
      <c r="E34" s="26" t="inlineStr">
        <is>
          <t>https://centr-zinc.ru/statie/holodnoe-cinkovanie-v-domashnih-usloviyah/</t>
        </is>
      </c>
    </row>
    <row r="35">
      <c r="A35" s="26" t="inlineStr">
        <is>
          <t>цинкование металла</t>
        </is>
      </c>
      <c r="B35" s="26" t="n">
        <v>6</v>
      </c>
      <c r="C35" s="28" t="inlineStr">
        <is>
          <t>Портал / форум / вики</t>
        </is>
      </c>
      <c r="D35" s="26" t="inlineStr">
        <is>
          <t>ru.wikipedia.org</t>
        </is>
      </c>
      <c r="E35" s="26" t="inlineStr">
        <is>
          <t>https://ru.wikipedia.org/wiki/Цинкование</t>
        </is>
      </c>
    </row>
    <row r="36">
      <c r="A36" s="26" t="inlineStr">
        <is>
          <t>цинкование металла</t>
        </is>
      </c>
      <c r="B36" s="26" t="n">
        <v>7</v>
      </c>
      <c r="C36" s="28" t="inlineStr">
        <is>
          <t>Портал / форум / вики</t>
        </is>
      </c>
      <c r="D36" s="26" t="inlineStr">
        <is>
          <t>market.severstal.com</t>
        </is>
      </c>
      <c r="E36" s="26" t="inlineStr">
        <is>
          <t>https://market.severstal.com/ru/ru/t/27001</t>
        </is>
      </c>
    </row>
    <row r="37">
      <c r="A37" s="26" t="inlineStr">
        <is>
          <t>цинкование металла</t>
        </is>
      </c>
      <c r="B37" s="26" t="n">
        <v>8</v>
      </c>
      <c r="C37" s="27" t="inlineStr">
        <is>
          <t>Средний сайт</t>
        </is>
      </c>
      <c r="D37" s="26" t="inlineStr">
        <is>
          <t>promsnab.me</t>
        </is>
      </c>
      <c r="E37" s="26" t="inlineStr">
        <is>
          <t>https://promsnab.me/news/_tsinkovanie_2_sposoba_nanesti_tsink_na_metall_/</t>
        </is>
      </c>
    </row>
    <row r="38">
      <c r="A38" s="26" t="inlineStr">
        <is>
          <t>цинкование металла</t>
        </is>
      </c>
      <c r="B38" s="26" t="n">
        <v>9</v>
      </c>
      <c r="C38" s="30" t="inlineStr">
        <is>
          <t>Большой сайт</t>
        </is>
      </c>
      <c r="D38" s="26" t="inlineStr">
        <is>
          <t>krepco.ru</t>
        </is>
      </c>
      <c r="E38" s="26" t="inlineStr">
        <is>
          <t>https://www.krepco.ru/blog/tsink1/</t>
        </is>
      </c>
    </row>
    <row r="39">
      <c r="A39" s="26" t="inlineStr">
        <is>
          <t>цинкование металла</t>
        </is>
      </c>
      <c r="B39" s="26" t="n">
        <v>10</v>
      </c>
      <c r="C39" s="30" t="inlineStr">
        <is>
          <t>Большой сайт</t>
        </is>
      </c>
      <c r="D39" s="26" t="inlineStr">
        <is>
          <t>steel-ex.ru</t>
        </is>
      </c>
      <c r="E39" s="26" t="inlineStr">
        <is>
          <t>https://steel-ex.ru/services/tsinkovanie/</t>
        </is>
      </c>
    </row>
    <row r="40">
      <c r="A40" s="26" t="inlineStr">
        <is>
          <t>кадмирование</t>
        </is>
      </c>
      <c r="B40" s="26" t="n">
        <v>2</v>
      </c>
      <c r="C40" s="28" t="inlineStr">
        <is>
          <t>Портал / форум / вики</t>
        </is>
      </c>
      <c r="D40" s="26" t="inlineStr">
        <is>
          <t>ru.wikipedia.org</t>
        </is>
      </c>
      <c r="E40" s="26" t="inlineStr">
        <is>
          <t>https://ru.wikipedia.org/wiki/Кадмирование</t>
        </is>
      </c>
    </row>
    <row r="41">
      <c r="A41" s="26" t="inlineStr">
        <is>
          <t>кадмирование</t>
        </is>
      </c>
      <c r="B41" s="26" t="n">
        <v>3</v>
      </c>
      <c r="C41" s="27" t="inlineStr">
        <is>
          <t>Средний сайт</t>
        </is>
      </c>
      <c r="D41" s="26" t="inlineStr">
        <is>
          <t>zctc.ru</t>
        </is>
      </c>
      <c r="E41" s="26" t="inlineStr">
        <is>
          <t>https://zctc.ru/sections/mehanizm_cadmirovaniya_1</t>
        </is>
      </c>
    </row>
    <row r="42">
      <c r="A42" s="26" t="inlineStr">
        <is>
          <t>кадмирование</t>
        </is>
      </c>
      <c r="B42" s="26" t="n">
        <v>5</v>
      </c>
      <c r="C42" s="29" t="inlineStr">
        <is>
          <t>Мини-сайт</t>
        </is>
      </c>
      <c r="D42" s="26" t="inlineStr">
        <is>
          <t>galvan.ru</t>
        </is>
      </c>
      <c r="E42" s="26" t="inlineStr">
        <is>
          <t>https://galvan.ru/kadmirovanie</t>
        </is>
      </c>
    </row>
    <row r="43">
      <c r="A43" s="26" t="inlineStr">
        <is>
          <t>кадмирование</t>
        </is>
      </c>
      <c r="B43" s="26" t="n">
        <v>6</v>
      </c>
      <c r="C43" s="29" t="inlineStr">
        <is>
          <t>Мини-сайт</t>
        </is>
      </c>
      <c r="D43" s="26" t="inlineStr">
        <is>
          <t>npkhrom.ru</t>
        </is>
      </c>
      <c r="E43" s="26" t="inlineStr">
        <is>
          <t>https://npkhrom.ru/service/zashhitnye-pokrytiya/kadmirovanie/</t>
        </is>
      </c>
    </row>
    <row r="44">
      <c r="A44" s="26" t="inlineStr">
        <is>
          <t>кадмирование</t>
        </is>
      </c>
      <c r="B44" s="26" t="n">
        <v>7</v>
      </c>
      <c r="C44" s="29" t="inlineStr">
        <is>
          <t>Мини-сайт</t>
        </is>
      </c>
      <c r="D44" s="26" t="inlineStr">
        <is>
          <t>plast-product.ru</t>
        </is>
      </c>
      <c r="E44" s="26" t="inlineStr">
        <is>
          <t>https://plast-product.ru/kadmirovanie/</t>
        </is>
      </c>
    </row>
    <row r="45">
      <c r="A45" s="26" t="inlineStr">
        <is>
          <t>кадмирование</t>
        </is>
      </c>
      <c r="B45" s="26" t="n">
        <v>9</v>
      </c>
      <c r="C45" s="27" t="inlineStr">
        <is>
          <t>Средний сайт</t>
        </is>
      </c>
      <c r="D45" s="26" t="inlineStr">
        <is>
          <t>snabtechmet.ru</t>
        </is>
      </c>
      <c r="E45" s="26" t="inlineStr">
        <is>
          <t>https://vlad.snabtechmet.ru/uslugi/kadmirovanie/</t>
        </is>
      </c>
    </row>
    <row r="46">
      <c r="A46" s="26" t="inlineStr">
        <is>
          <t>кадмирование</t>
        </is>
      </c>
      <c r="B46" s="26" t="n">
        <v>10</v>
      </c>
      <c r="C46" s="29" t="inlineStr">
        <is>
          <t>Мини-сайт</t>
        </is>
      </c>
      <c r="D46" s="26" t="inlineStr">
        <is>
          <t>ptzem.ru</t>
        </is>
      </c>
      <c r="E46" s="26" t="inlineStr">
        <is>
          <t>https://ptzem.ru/services/galvanoobrabotka/kadmirovanie/</t>
        </is>
      </c>
    </row>
    <row r="47">
      <c r="A47" s="26" t="inlineStr">
        <is>
          <t>никелирование</t>
        </is>
      </c>
      <c r="B47" s="26" t="n">
        <v>2</v>
      </c>
      <c r="C47" s="29" t="inlineStr">
        <is>
          <t>Мини-сайт</t>
        </is>
      </c>
      <c r="D47" s="26" t="inlineStr">
        <is>
          <t>chemnikel.ru</t>
        </is>
      </c>
      <c r="E47" s="26" t="inlineStr">
        <is>
          <t>https://chemnikel.ru/galvanicheskoe-nikelirovanie-elektrolity-tehnologiya/</t>
        </is>
      </c>
    </row>
    <row r="48">
      <c r="A48" s="26" t="inlineStr">
        <is>
          <t>никелирование</t>
        </is>
      </c>
      <c r="B48" s="26" t="n">
        <v>3</v>
      </c>
      <c r="C48" s="27" t="inlineStr">
        <is>
          <t>Средний сайт</t>
        </is>
      </c>
      <c r="D48" s="26" t="inlineStr">
        <is>
          <t>6mkm.ru</t>
        </is>
      </c>
      <c r="E48" s="26" t="inlineStr">
        <is>
          <t>https://6mkm.ru/nashi-tehnologii/nikelirovanie/nikelirovanie-v-domashnih-usloviyah/</t>
        </is>
      </c>
    </row>
    <row r="49">
      <c r="A49" s="26" t="inlineStr">
        <is>
          <t>никелирование</t>
        </is>
      </c>
      <c r="B49" s="26" t="n">
        <v>5</v>
      </c>
      <c r="C49" s="27" t="inlineStr">
        <is>
          <t>Средний сайт</t>
        </is>
      </c>
      <c r="D49" s="26" t="inlineStr">
        <is>
          <t>pzki54.ru</t>
        </is>
      </c>
      <c r="E49" s="26" t="inlineStr">
        <is>
          <t>https://pzki54.ru/stati/galvanicheskoe-pokrytie-nikelem.php</t>
        </is>
      </c>
    </row>
    <row r="50">
      <c r="A50" s="26" t="inlineStr">
        <is>
          <t>никелирование</t>
        </is>
      </c>
      <c r="B50" s="26" t="n">
        <v>6</v>
      </c>
      <c r="C50" s="27" t="inlineStr">
        <is>
          <t>Средний сайт</t>
        </is>
      </c>
      <c r="D50" s="26" t="inlineStr">
        <is>
          <t>zctc.ru</t>
        </is>
      </c>
      <c r="E50" s="26" t="inlineStr">
        <is>
          <t>https://zctc.ru/catalog/Nickelirovanie</t>
        </is>
      </c>
    </row>
    <row r="51">
      <c r="A51" s="26" t="inlineStr">
        <is>
          <t>никелирование</t>
        </is>
      </c>
      <c r="B51" s="26" t="n">
        <v>7</v>
      </c>
      <c r="C51" s="29" t="inlineStr">
        <is>
          <t>Мини-сайт</t>
        </is>
      </c>
      <c r="D51" s="26" t="inlineStr">
        <is>
          <t>hrom-prom.ru</t>
        </is>
      </c>
      <c r="E51" s="26" t="inlineStr">
        <is>
          <t>https://spb.hrom-prom.ru/никелирование/</t>
        </is>
      </c>
    </row>
    <row r="52">
      <c r="A52" s="26" t="inlineStr">
        <is>
          <t>никелирование</t>
        </is>
      </c>
      <c r="B52" s="26" t="n">
        <v>8</v>
      </c>
      <c r="C52" s="29" t="inlineStr">
        <is>
          <t>Мини-сайт</t>
        </is>
      </c>
      <c r="D52" s="26" t="inlineStr">
        <is>
          <t>impgold.ru</t>
        </is>
      </c>
      <c r="E52" s="26" t="inlineStr">
        <is>
          <t>https://impgold.ru/electroplating/metalplating/electrolysis_nik/</t>
        </is>
      </c>
    </row>
    <row r="53">
      <c r="A53" s="26" t="inlineStr">
        <is>
          <t>никелирование</t>
        </is>
      </c>
      <c r="B53" s="26" t="n">
        <v>9</v>
      </c>
      <c r="C53" s="30" t="inlineStr">
        <is>
          <t>Большой сайт</t>
        </is>
      </c>
      <c r="D53" s="26" t="inlineStr">
        <is>
          <t>oniks-krep.ru</t>
        </is>
      </c>
      <c r="E53" s="26" t="inlineStr">
        <is>
          <t>https://oniks-krep.ru/blog/o-krepezhe/chto-takoe-khimicheskoe-nikelirovanie/</t>
        </is>
      </c>
    </row>
    <row r="54">
      <c r="A54" s="26" t="inlineStr">
        <is>
          <t>химическое никелирование</t>
        </is>
      </c>
      <c r="B54" s="26" t="n">
        <v>1</v>
      </c>
      <c r="C54" s="27" t="inlineStr">
        <is>
          <t>Средний сайт</t>
        </is>
      </c>
      <c r="D54" s="26" t="inlineStr">
        <is>
          <t>zctc.ru</t>
        </is>
      </c>
      <c r="E54" s="26" t="inlineStr">
        <is>
          <t>https://zctc.ru/sections/chem_nickl</t>
        </is>
      </c>
    </row>
    <row r="55">
      <c r="A55" s="26" t="inlineStr">
        <is>
          <t>химическое никелирование</t>
        </is>
      </c>
      <c r="B55" s="26" t="n">
        <v>2</v>
      </c>
      <c r="C55" s="30" t="inlineStr">
        <is>
          <t>Большой сайт</t>
        </is>
      </c>
      <c r="D55" s="26" t="inlineStr">
        <is>
          <t>oniks-krep.ru</t>
        </is>
      </c>
      <c r="E55" s="26" t="inlineStr">
        <is>
          <t>https://oniks-krep.ru/blog/o-krepezhe/chto-takoe-khimicheskoe-nikelirovanie/</t>
        </is>
      </c>
    </row>
    <row r="56">
      <c r="A56" s="26" t="inlineStr">
        <is>
          <t>химическое никелирование</t>
        </is>
      </c>
      <c r="B56" s="26" t="n">
        <v>3</v>
      </c>
      <c r="C56" s="29" t="inlineStr">
        <is>
          <t>Мини-сайт</t>
        </is>
      </c>
      <c r="D56" s="26" t="inlineStr">
        <is>
          <t>impgold.ru</t>
        </is>
      </c>
      <c r="E56" s="26" t="inlineStr">
        <is>
          <t>https://impgold.ru/electroplating/metalplating/electrolysis_nik/</t>
        </is>
      </c>
    </row>
    <row r="57">
      <c r="A57" s="26" t="inlineStr">
        <is>
          <t>химическое никелирование</t>
        </is>
      </c>
      <c r="B57" s="26" t="n">
        <v>5</v>
      </c>
      <c r="C57" s="28" t="inlineStr">
        <is>
          <t>Портал / форум / вики</t>
        </is>
      </c>
      <c r="D57" s="26" t="inlineStr">
        <is>
          <t>new.ras.ru</t>
        </is>
      </c>
      <c r="E57" s="26" t="inlineStr">
        <is>
          <t>https://new.ras.ru/work/publishing/monographs/khimicheskoe-nikelirovanie/</t>
        </is>
      </c>
    </row>
    <row r="58">
      <c r="A58" s="26" t="inlineStr">
        <is>
          <t>химическое никелирование</t>
        </is>
      </c>
      <c r="B58" s="26" t="n">
        <v>6</v>
      </c>
      <c r="C58" s="27" t="inlineStr">
        <is>
          <t>Средний сайт</t>
        </is>
      </c>
      <c r="D58" s="26" t="inlineStr">
        <is>
          <t>snabtechmet.ru</t>
        </is>
      </c>
      <c r="E58" s="26" t="inlineStr">
        <is>
          <t>https://snabtechmet.ru/uslugi/himicheskoe-nikelirovanie-metallicheskih-izdelij/</t>
        </is>
      </c>
    </row>
    <row r="59">
      <c r="A59" s="26" t="inlineStr">
        <is>
          <t>химическое никелирование</t>
        </is>
      </c>
      <c r="B59" s="26" t="n">
        <v>7</v>
      </c>
      <c r="C59" s="28" t="inlineStr">
        <is>
          <t>Портал / форум / вики</t>
        </is>
      </c>
      <c r="D59" s="26" t="inlineStr">
        <is>
          <t>ru.wikipedia.org</t>
        </is>
      </c>
      <c r="E59" s="26" t="inlineStr">
        <is>
          <t>https://ru.wikipedia.org/wiki/Никелирование</t>
        </is>
      </c>
    </row>
    <row r="60">
      <c r="A60" s="26" t="inlineStr">
        <is>
          <t>химическое никелирование</t>
        </is>
      </c>
      <c r="B60" s="26" t="n">
        <v>8</v>
      </c>
      <c r="C60" s="29" t="inlineStr">
        <is>
          <t>Мини-сайт</t>
        </is>
      </c>
      <c r="D60" s="26" t="inlineStr">
        <is>
          <t>npkhrom.ru</t>
        </is>
      </c>
      <c r="E60" s="26" t="inlineStr">
        <is>
          <t>https://npkhrom.ru/service/dekorativnye-pokrytiya/nikelirovanie/himicheskoe/</t>
        </is>
      </c>
    </row>
    <row r="61">
      <c r="A61" s="26" t="inlineStr">
        <is>
          <t>химическое никелирование</t>
        </is>
      </c>
      <c r="B61" s="26" t="n">
        <v>9</v>
      </c>
      <c r="C61" s="27" t="inlineStr">
        <is>
          <t>Средний сайт</t>
        </is>
      </c>
      <c r="D61" s="26" t="inlineStr">
        <is>
          <t>ptsmake.com</t>
        </is>
      </c>
      <c r="E61" s="26" t="inlineStr">
        <is>
          <t>https://www.ptsmake.com/ru/ultimate-guide-to-electroless-nickel-for-engineers/</t>
        </is>
      </c>
    </row>
    <row r="62">
      <c r="A62" s="26" t="inlineStr">
        <is>
          <t>твердое хромирование</t>
        </is>
      </c>
      <c r="B62" s="26" t="n">
        <v>1</v>
      </c>
      <c r="C62" s="28" t="inlineStr">
        <is>
          <t>Портал / форум / вики</t>
        </is>
      </c>
      <c r="D62" s="26" t="inlineStr">
        <is>
          <t>habr.com</t>
        </is>
      </c>
      <c r="E62" s="26" t="inlineStr">
        <is>
          <t>https://habr.com/ru/articles/988302/</t>
        </is>
      </c>
    </row>
    <row r="63">
      <c r="A63" s="26" t="inlineStr">
        <is>
          <t>твердое хромирование</t>
        </is>
      </c>
      <c r="B63" s="26" t="n">
        <v>2</v>
      </c>
      <c r="C63" s="29" t="inlineStr">
        <is>
          <t>Мини-сайт</t>
        </is>
      </c>
      <c r="D63" s="26" t="inlineStr">
        <is>
          <t>hrom-prom.ru</t>
        </is>
      </c>
      <c r="E63" s="26" t="inlineStr">
        <is>
          <t>https://hrom-prom.ru/твердый-хром/</t>
        </is>
      </c>
    </row>
    <row r="64">
      <c r="A64" s="26" t="inlineStr">
        <is>
          <t>твердое хромирование</t>
        </is>
      </c>
      <c r="B64" s="26" t="n">
        <v>4</v>
      </c>
      <c r="C64" s="27" t="inlineStr">
        <is>
          <t>Средний сайт</t>
        </is>
      </c>
      <c r="D64" s="26" t="inlineStr">
        <is>
          <t>urzpm.ru</t>
        </is>
      </c>
      <c r="E64" s="26" t="inlineStr">
        <is>
          <t>https://urzpm.ru/uslugi/galvanicheskie-pokrytija/hromirovanie/tverdoe-hromirovanie-stali/</t>
        </is>
      </c>
    </row>
    <row r="65">
      <c r="A65" s="26" t="inlineStr">
        <is>
          <t>твердое хромирование</t>
        </is>
      </c>
      <c r="B65" s="26" t="n">
        <v>5</v>
      </c>
      <c r="C65" s="29" t="inlineStr">
        <is>
          <t>Мини-сайт</t>
        </is>
      </c>
      <c r="D65" s="26" t="inlineStr">
        <is>
          <t>zgp1.ru</t>
        </is>
      </c>
      <c r="E65" s="26" t="inlineStr">
        <is>
          <t>https://zgp1.ru/assets/coat/chrome/chrome_coat.html</t>
        </is>
      </c>
    </row>
    <row r="66">
      <c r="A66" s="26" t="inlineStr">
        <is>
          <t>твердое хромирование</t>
        </is>
      </c>
      <c r="B66" s="26" t="n">
        <v>6</v>
      </c>
      <c r="C66" s="29" t="inlineStr">
        <is>
          <t>Мини-сайт</t>
        </is>
      </c>
      <c r="D66" s="26" t="inlineStr">
        <is>
          <t>sdbksteel.com</t>
        </is>
      </c>
      <c r="E66" s="26" t="inlineStr">
        <is>
          <t>https://www.sdbksteel.com/ru/a-guide-to-hard-chrome-plating/</t>
        </is>
      </c>
    </row>
    <row r="67">
      <c r="A67" s="26" t="inlineStr">
        <is>
          <t>твердое хромирование</t>
        </is>
      </c>
      <c r="B67" s="26" t="n">
        <v>7</v>
      </c>
      <c r="C67" s="28" t="inlineStr">
        <is>
          <t>Портал / форум / вики</t>
        </is>
      </c>
      <c r="D67" s="26" t="inlineStr">
        <is>
          <t>chipmaker.ru</t>
        </is>
      </c>
      <c r="E67" s="26" t="inlineStr">
        <is>
          <t>https://www.chipmaker.ru/topic/236695/</t>
        </is>
      </c>
    </row>
    <row r="68">
      <c r="A68" s="26" t="inlineStr">
        <is>
          <t>твердое хромирование</t>
        </is>
      </c>
      <c r="B68" s="26" t="n">
        <v>8</v>
      </c>
      <c r="C68" s="28" t="inlineStr">
        <is>
          <t>Портал / форум / вики</t>
        </is>
      </c>
      <c r="D68" s="26" t="inlineStr">
        <is>
          <t>ru.wikipedia.org</t>
        </is>
      </c>
      <c r="E68" s="26" t="inlineStr">
        <is>
          <t>https://ru.wikipedia.org/wiki/Хромирование</t>
        </is>
      </c>
    </row>
    <row r="69">
      <c r="A69" s="26" t="inlineStr">
        <is>
          <t>твердое хромирование</t>
        </is>
      </c>
      <c r="B69" s="26" t="n">
        <v>9</v>
      </c>
      <c r="C69" s="29" t="inlineStr">
        <is>
          <t>Мини-сайт</t>
        </is>
      </c>
      <c r="D69" s="26" t="inlineStr">
        <is>
          <t>sifrainternational.com</t>
        </is>
      </c>
      <c r="E69" s="26" t="inlineStr">
        <is>
          <t>https://www.sifrainternational.com/ru/толстое-твердое-хромирование/</t>
        </is>
      </c>
    </row>
    <row r="70">
      <c r="A70" s="26" t="inlineStr">
        <is>
          <t>твердое хромирование</t>
        </is>
      </c>
      <c r="B70" s="26" t="n">
        <v>10</v>
      </c>
      <c r="C70" s="29" t="inlineStr">
        <is>
          <t>Мини-сайт</t>
        </is>
      </c>
      <c r="D70" s="26" t="inlineStr">
        <is>
          <t>galvanika-msk.com</t>
        </is>
      </c>
      <c r="E70" s="26" t="inlineStr">
        <is>
          <t>https://galvanika-msk.com/services/hromirovanie-tverdoe/</t>
        </is>
      </c>
    </row>
    <row r="71">
      <c r="A71" s="26" t="inlineStr">
        <is>
          <t>хромирование деталей</t>
        </is>
      </c>
      <c r="B71" s="26" t="n">
        <v>2</v>
      </c>
      <c r="C71" s="28" t="inlineStr">
        <is>
          <t>Портал / форум / вики</t>
        </is>
      </c>
      <c r="D71" s="26" t="inlineStr">
        <is>
          <t>avito.ru</t>
        </is>
      </c>
      <c r="E71" s="26" t="inlineStr">
        <is>
          <t>https://www.avito.ru/all?q=хромирование+деталей</t>
        </is>
      </c>
    </row>
    <row r="72">
      <c r="A72" s="26" t="inlineStr">
        <is>
          <t>хромирование деталей</t>
        </is>
      </c>
      <c r="B72" s="26" t="n">
        <v>3</v>
      </c>
      <c r="C72" s="30" t="inlineStr">
        <is>
          <t>Большой сайт</t>
        </is>
      </c>
      <c r="D72" s="26" t="inlineStr">
        <is>
          <t>inner.su</t>
        </is>
      </c>
      <c r="E72" s="26" t="inlineStr">
        <is>
          <t>https://inner.su/articles/khromirovanie-detali/</t>
        </is>
      </c>
    </row>
    <row r="73">
      <c r="A73" s="26" t="inlineStr">
        <is>
          <t>хромирование деталей</t>
        </is>
      </c>
      <c r="B73" s="26" t="n">
        <v>5</v>
      </c>
      <c r="C73" s="28" t="inlineStr">
        <is>
          <t>Портал / форум / вики</t>
        </is>
      </c>
      <c r="D73" s="26" t="inlineStr">
        <is>
          <t>ozon.ru</t>
        </is>
      </c>
      <c r="E73" s="26" t="inlineStr">
        <is>
          <t>https://www.ozon.ru/category/hromirovanie/</t>
        </is>
      </c>
    </row>
    <row r="74">
      <c r="A74" s="26" t="inlineStr">
        <is>
          <t>хромирование деталей</t>
        </is>
      </c>
      <c r="B74" s="26" t="n">
        <v>6</v>
      </c>
      <c r="C74" s="29" t="inlineStr">
        <is>
          <t>Мини-сайт</t>
        </is>
      </c>
      <c r="D74" s="26" t="inlineStr">
        <is>
          <t>fusion-chrome.ru</t>
        </is>
      </c>
      <c r="E74" s="26" t="inlineStr">
        <is>
          <t>https://fusion-chrome.ru/articles/khromirovanie-i-tyuning-i-zashchita-dlya-detaley-avtomobilya/</t>
        </is>
      </c>
    </row>
    <row r="75">
      <c r="A75" s="26" t="inlineStr">
        <is>
          <t>хромирование деталей</t>
        </is>
      </c>
      <c r="B75" s="26" t="n">
        <v>7</v>
      </c>
      <c r="C75" s="29" t="inlineStr">
        <is>
          <t>Мини-сайт</t>
        </is>
      </c>
      <c r="D75" s="26" t="inlineStr">
        <is>
          <t>cultmet.ru</t>
        </is>
      </c>
      <c r="E75" s="26" t="inlineStr">
        <is>
          <t>https://www.cultmet.ru/goods/23811900-khromirovaniye</t>
        </is>
      </c>
    </row>
    <row r="76">
      <c r="A76" s="26" t="inlineStr">
        <is>
          <t>хромирование деталей</t>
        </is>
      </c>
      <c r="B76" s="26" t="n">
        <v>8</v>
      </c>
      <c r="C76" s="28" t="inlineStr">
        <is>
          <t>Портал / форум / вики</t>
        </is>
      </c>
      <c r="D76" s="26" t="inlineStr">
        <is>
          <t>ru.wikipedia.org</t>
        </is>
      </c>
      <c r="E76" s="26" t="inlineStr">
        <is>
          <t>https://ru.wikipedia.org/wiki/Хромирование</t>
        </is>
      </c>
    </row>
    <row r="77">
      <c r="A77" s="26" t="inlineStr">
        <is>
          <t>хромирование деталей</t>
        </is>
      </c>
      <c r="B77" s="26" t="n">
        <v>9</v>
      </c>
      <c r="C77" s="29" t="inlineStr">
        <is>
          <t>Мини-сайт</t>
        </is>
      </c>
      <c r="D77" s="26" t="inlineStr">
        <is>
          <t>maestro-chrome.ru</t>
        </is>
      </c>
      <c r="E77" s="26" t="inlineStr">
        <is>
          <t>https://www.maestro-chrome.ru/</t>
        </is>
      </c>
    </row>
    <row r="78">
      <c r="A78" s="26" t="inlineStr">
        <is>
          <t>оксидирование стали</t>
        </is>
      </c>
      <c r="B78" s="26" t="n">
        <v>1</v>
      </c>
      <c r="C78" s="27" t="inlineStr">
        <is>
          <t>Средний сайт</t>
        </is>
      </c>
      <c r="D78" s="26" t="inlineStr">
        <is>
          <t>smetiz.ru</t>
        </is>
      </c>
      <c r="E78" s="26" t="inlineStr">
        <is>
          <t>https://smetiz.ru/tekhnicheskaya-informaciya/pokrytiya/oksidirovanie/</t>
        </is>
      </c>
    </row>
    <row r="79">
      <c r="A79" s="26" t="inlineStr">
        <is>
          <t>оксидирование стали</t>
        </is>
      </c>
      <c r="B79" s="26" t="n">
        <v>3</v>
      </c>
      <c r="C79" s="30" t="inlineStr">
        <is>
          <t>Большой сайт</t>
        </is>
      </c>
      <c r="D79" s="26" t="inlineStr">
        <is>
          <t>vt-metall.ru</t>
        </is>
      </c>
      <c r="E79" s="26" t="inlineStr">
        <is>
          <t>https://vt-metall.ru/articles/893-oksidirovanie-metalla/</t>
        </is>
      </c>
    </row>
    <row r="80">
      <c r="A80" s="26" t="inlineStr">
        <is>
          <t>оксидирование стали</t>
        </is>
      </c>
      <c r="B80" s="26" t="n">
        <v>4</v>
      </c>
      <c r="C80" s="29" t="inlineStr">
        <is>
          <t>Мини-сайт</t>
        </is>
      </c>
      <c r="D80" s="26" t="inlineStr">
        <is>
          <t>vskplast.ru</t>
        </is>
      </c>
      <c r="E80" s="26" t="inlineStr">
        <is>
          <t>https://vskplast.ru/oksidirovanie/</t>
        </is>
      </c>
    </row>
    <row r="81">
      <c r="A81" s="26" t="inlineStr">
        <is>
          <t>оксидирование стали</t>
        </is>
      </c>
      <c r="B81" s="26" t="n">
        <v>5</v>
      </c>
      <c r="C81" s="27" t="inlineStr">
        <is>
          <t>Средний сайт</t>
        </is>
      </c>
      <c r="D81" s="26" t="inlineStr">
        <is>
          <t>zctc.ru</t>
        </is>
      </c>
      <c r="E81" s="26" t="inlineStr">
        <is>
          <t>https://zctc.ru/sections/chim_cherneniye_stali</t>
        </is>
      </c>
    </row>
    <row r="82">
      <c r="A82" s="26" t="inlineStr">
        <is>
          <t>оксидирование стали</t>
        </is>
      </c>
      <c r="B82" s="26" t="n">
        <v>6</v>
      </c>
      <c r="C82" s="29" t="inlineStr">
        <is>
          <t>Мини-сайт</t>
        </is>
      </c>
      <c r="D82" s="26" t="inlineStr">
        <is>
          <t>impgold.ru</t>
        </is>
      </c>
      <c r="E82" s="26" t="inlineStr">
        <is>
          <t>https://impgold.ru/introduce/book/2_1/</t>
        </is>
      </c>
    </row>
    <row r="83">
      <c r="A83" s="26" t="inlineStr">
        <is>
          <t>оксидирование стали</t>
        </is>
      </c>
      <c r="B83" s="26" t="n">
        <v>7</v>
      </c>
      <c r="C83" s="29" t="inlineStr">
        <is>
          <t>Мини-сайт</t>
        </is>
      </c>
      <c r="D83" s="26" t="inlineStr">
        <is>
          <t>ptzem.ru</t>
        </is>
      </c>
      <c r="E83" s="26" t="inlineStr">
        <is>
          <t>https://ptzem.ru/services/galvanoobrabotka/oksidirovanie/</t>
        </is>
      </c>
    </row>
    <row r="84">
      <c r="A84" s="26" t="inlineStr">
        <is>
          <t>оксидирование стали</t>
        </is>
      </c>
      <c r="B84" s="26" t="n">
        <v>8</v>
      </c>
      <c r="C84" s="27" t="inlineStr">
        <is>
          <t>Средний сайт</t>
        </is>
      </c>
      <c r="D84" s="26" t="inlineStr">
        <is>
          <t>dtechno-laser.ru</t>
        </is>
      </c>
      <c r="E84" s="26" t="inlineStr">
        <is>
          <t>https://dtechno-laser.ru/articles/oksidirovanie-metalla-v-promyshlennykh-i-domashnikh-usloviyakh/</t>
        </is>
      </c>
    </row>
    <row r="85">
      <c r="A85" s="26" t="inlineStr">
        <is>
          <t>оксидирование стали</t>
        </is>
      </c>
      <c r="B85" s="26" t="n">
        <v>9</v>
      </c>
      <c r="C85" s="29" t="inlineStr">
        <is>
          <t>Мини-сайт</t>
        </is>
      </c>
      <c r="D85" s="26" t="inlineStr">
        <is>
          <t>cultmet.ru</t>
        </is>
      </c>
      <c r="E85" s="26" t="inlineStr">
        <is>
          <t>https://www.cultmet.ru/goods/23809087-khimicheskoye_oxidirovaniye</t>
        </is>
      </c>
    </row>
    <row r="86">
      <c r="A86" s="26" t="inlineStr">
        <is>
          <t>оксидирование стали</t>
        </is>
      </c>
      <c r="B86" s="26" t="n">
        <v>10</v>
      </c>
      <c r="C86" s="28" t="inlineStr">
        <is>
          <t>Портал / форум / вики</t>
        </is>
      </c>
      <c r="D86" s="26" t="inlineStr">
        <is>
          <t>ru.wikipedia.org</t>
        </is>
      </c>
      <c r="E86" s="26" t="inlineStr">
        <is>
          <t>https://ru.wikipedia.org/wiki/Воронение_стали</t>
        </is>
      </c>
    </row>
    <row r="87">
      <c r="A87" s="26" t="inlineStr">
        <is>
          <t>фосфатирование металла</t>
        </is>
      </c>
      <c r="B87" s="26" t="n">
        <v>2</v>
      </c>
      <c r="C87" s="27" t="inlineStr">
        <is>
          <t>Средний сайт</t>
        </is>
      </c>
      <c r="D87" s="26" t="inlineStr">
        <is>
          <t>smetiz.ru</t>
        </is>
      </c>
      <c r="E87" s="26" t="inlineStr">
        <is>
          <t>https://smetiz.ru/tekhnicheskaya-informaciya/pokrytiya/fosfatirovanie/</t>
        </is>
      </c>
    </row>
    <row r="88">
      <c r="A88" s="26" t="inlineStr">
        <is>
          <t>фосфатирование металла</t>
        </is>
      </c>
      <c r="B88" s="26" t="n">
        <v>4</v>
      </c>
      <c r="C88" s="28" t="inlineStr">
        <is>
          <t>Портал / форум / вики</t>
        </is>
      </c>
      <c r="D88" s="26" t="inlineStr">
        <is>
          <t>ru.wikipedia.org</t>
        </is>
      </c>
      <c r="E88" s="26" t="inlineStr">
        <is>
          <t>https://ru.wikipedia.org/wiki/Фосфатирование</t>
        </is>
      </c>
    </row>
    <row r="89">
      <c r="A89" s="26" t="inlineStr">
        <is>
          <t>фосфатирование металла</t>
        </is>
      </c>
      <c r="B89" s="26" t="n">
        <v>5</v>
      </c>
      <c r="C89" s="27" t="inlineStr">
        <is>
          <t>Средний сайт</t>
        </is>
      </c>
      <c r="D89" s="26" t="inlineStr">
        <is>
          <t>profdek.ru</t>
        </is>
      </c>
      <c r="E89" s="26" t="inlineStr">
        <is>
          <t>https://profdek.ru/blog/fosfatirovanie-metalla-pered-pokraskoj-poroshkovoj-kraskoj</t>
        </is>
      </c>
    </row>
    <row r="90">
      <c r="A90" s="26" t="inlineStr">
        <is>
          <t>фосфатирование металла</t>
        </is>
      </c>
      <c r="B90" s="26" t="n">
        <v>6</v>
      </c>
      <c r="C90" s="28" t="inlineStr">
        <is>
          <t>Портал / форум / вики</t>
        </is>
      </c>
      <c r="D90" s="26" t="inlineStr">
        <is>
          <t>drive2.ru</t>
        </is>
      </c>
      <c r="E90" s="26" t="inlineStr">
        <is>
          <t>https://www.drive2.ru/b/500032325740921005/</t>
        </is>
      </c>
    </row>
    <row r="91">
      <c r="A91" s="26" t="inlineStr">
        <is>
          <t>фосфатирование металла</t>
        </is>
      </c>
      <c r="B91" s="26" t="n">
        <v>7</v>
      </c>
      <c r="C91" s="29" t="inlineStr">
        <is>
          <t>Мини-сайт</t>
        </is>
      </c>
      <c r="D91" s="26" t="inlineStr">
        <is>
          <t>technoline-group.ru</t>
        </is>
      </c>
      <c r="E91" s="26" t="inlineStr">
        <is>
          <t>https://technoline-group.ru/articles/podgotovka-metalla/vidy-fosfatirovaniya-i-ikh-primenenie/</t>
        </is>
      </c>
    </row>
    <row r="92">
      <c r="A92" s="26" t="inlineStr">
        <is>
          <t>фосфатирование металла</t>
        </is>
      </c>
      <c r="B92" s="26" t="n">
        <v>8</v>
      </c>
      <c r="C92" s="29" t="inlineStr">
        <is>
          <t>Мини-сайт</t>
        </is>
      </c>
      <c r="D92" s="26" t="inlineStr">
        <is>
          <t>vskplast.ru</t>
        </is>
      </c>
      <c r="E92" s="26" t="inlineStr">
        <is>
          <t>https://vskplast.ru/fosfotirovanie/</t>
        </is>
      </c>
    </row>
    <row r="93">
      <c r="A93" s="26" t="inlineStr">
        <is>
          <t>фосфатирование металла</t>
        </is>
      </c>
      <c r="B93" s="26" t="n">
        <v>9</v>
      </c>
      <c r="C93" s="27" t="inlineStr">
        <is>
          <t>Средний сайт</t>
        </is>
      </c>
      <c r="D93" s="26" t="inlineStr">
        <is>
          <t>zctc.ru</t>
        </is>
      </c>
      <c r="E93" s="26" t="inlineStr">
        <is>
          <t>https://zctc.ru/sections/tehnologicheskij_process_fosfatirovaniya</t>
        </is>
      </c>
    </row>
    <row r="94">
      <c r="A94" s="26" t="inlineStr">
        <is>
          <t>фосфатирование металла</t>
        </is>
      </c>
      <c r="B94" s="26" t="n">
        <v>10</v>
      </c>
      <c r="C94" s="28" t="inlineStr">
        <is>
          <t>Портал / форум / вики</t>
        </is>
      </c>
      <c r="D94" s="26" t="inlineStr">
        <is>
          <t>science.kuzstu.ru</t>
        </is>
      </c>
      <c r="E94" s="26" t="inlineStr">
        <is>
          <t>https://science.kuzstu.ru/wp-content/Events/Conference/HIHT/2018/HIHT/pages/Articles/621.pdf</t>
        </is>
      </c>
    </row>
    <row r="95">
      <c r="A95" s="26" t="inlineStr">
        <is>
          <t>оловянирование</t>
        </is>
      </c>
      <c r="B95" s="26" t="n">
        <v>2</v>
      </c>
      <c r="C95" s="27" t="inlineStr">
        <is>
          <t>Средний сайт</t>
        </is>
      </c>
      <c r="D95" s="26" t="inlineStr">
        <is>
          <t>zctc.ru</t>
        </is>
      </c>
      <c r="E95" s="26" t="inlineStr">
        <is>
          <t>https://zctc.ru/sections/olovyanirovaniye</t>
        </is>
      </c>
    </row>
    <row r="96">
      <c r="A96" s="26" t="inlineStr">
        <is>
          <t>оловянирование</t>
        </is>
      </c>
      <c r="B96" s="26" t="n">
        <v>4</v>
      </c>
      <c r="C96" s="29" t="inlineStr">
        <is>
          <t>Мини-сайт</t>
        </is>
      </c>
      <c r="D96" s="26" t="inlineStr">
        <is>
          <t>chemnikel.ru</t>
        </is>
      </c>
      <c r="E96" s="26" t="inlineStr">
        <is>
          <t>https://chemnikel.ru/galvanicheskoe-olovyanirovanie-metalla/</t>
        </is>
      </c>
    </row>
    <row r="97">
      <c r="A97" s="26" t="inlineStr">
        <is>
          <t>оловянирование</t>
        </is>
      </c>
      <c r="B97" s="26" t="n">
        <v>5</v>
      </c>
      <c r="C97" s="29" t="inlineStr">
        <is>
          <t>Мини-сайт</t>
        </is>
      </c>
      <c r="D97" s="26" t="inlineStr">
        <is>
          <t>vskplast.ru</t>
        </is>
      </c>
      <c r="E97" s="26" t="inlineStr">
        <is>
          <t>https://vskplast.ru/olovyanirovanie_galvanicheskoe/</t>
        </is>
      </c>
    </row>
    <row r="98">
      <c r="A98" s="26" t="inlineStr">
        <is>
          <t>оловянирование</t>
        </is>
      </c>
      <c r="B98" s="26" t="n">
        <v>6</v>
      </c>
      <c r="C98" s="29" t="inlineStr">
        <is>
          <t>Мини-сайт</t>
        </is>
      </c>
      <c r="D98" s="26" t="inlineStr">
        <is>
          <t>galvanik.ru</t>
        </is>
      </c>
      <c r="E98" s="26" t="inlineStr">
        <is>
          <t>https://www.galvanik.ru/technology/tinning/</t>
        </is>
      </c>
    </row>
    <row r="99">
      <c r="A99" s="26" t="inlineStr">
        <is>
          <t>оловянирование</t>
        </is>
      </c>
      <c r="B99" s="26" t="n">
        <v>7</v>
      </c>
      <c r="C99" s="29" t="inlineStr">
        <is>
          <t>Мини-сайт</t>
        </is>
      </c>
      <c r="D99" s="26" t="inlineStr">
        <is>
          <t>prom-emkosti.ru</t>
        </is>
      </c>
      <c r="E99" s="26" t="inlineStr">
        <is>
          <t>https://prom-emkosti.ru/produktsiya/galvanicheskoe-oborudovanie/linii-galvanicheskie/linija-olovjanirovanija/</t>
        </is>
      </c>
    </row>
    <row r="100">
      <c r="A100" s="26" t="inlineStr">
        <is>
          <t>оловянирование</t>
        </is>
      </c>
      <c r="B100" s="26" t="n">
        <v>8</v>
      </c>
      <c r="C100" s="29" t="inlineStr">
        <is>
          <t>Мини-сайт</t>
        </is>
      </c>
      <c r="D100" s="26" t="inlineStr">
        <is>
          <t>zao-techno.ru</t>
        </is>
      </c>
      <c r="E100" s="26" t="inlineStr">
        <is>
          <t>http://www.zao-techno.ru/content/view/5/8/</t>
        </is>
      </c>
    </row>
    <row r="101">
      <c r="A101" s="26" t="inlineStr">
        <is>
          <t>оловянирование</t>
        </is>
      </c>
      <c r="B101" s="26" t="n">
        <v>9</v>
      </c>
      <c r="C101" s="27" t="inlineStr">
        <is>
          <t>Средний сайт</t>
        </is>
      </c>
      <c r="D101" s="26" t="inlineStr">
        <is>
          <t>anepmetall.ru</t>
        </is>
      </c>
      <c r="E101" s="26" t="inlineStr">
        <is>
          <t>https://ekaterinburg.anepmetall.ru/olovyanirovanie/</t>
        </is>
      </c>
    </row>
    <row r="102">
      <c r="A102" s="26" t="inlineStr">
        <is>
          <t>оловянирование</t>
        </is>
      </c>
      <c r="B102" s="26" t="n">
        <v>10</v>
      </c>
      <c r="C102" s="29" t="inlineStr">
        <is>
          <t>Мини-сайт</t>
        </is>
      </c>
      <c r="D102" s="26" t="inlineStr">
        <is>
          <t>elmaru.ru</t>
        </is>
      </c>
      <c r="E102" s="26" t="inlineStr">
        <is>
          <t>https://elmaru.ru/process/galvanicheskoe-olovyanirovanie-i-osazhdenie-pos/</t>
        </is>
      </c>
    </row>
    <row r="103">
      <c r="A103" s="26" t="inlineStr">
        <is>
          <t>покрытие олово-висмут</t>
        </is>
      </c>
      <c r="B103" s="26" t="n">
        <v>2</v>
      </c>
      <c r="C103" s="29" t="inlineStr">
        <is>
          <t>Мини-сайт</t>
        </is>
      </c>
      <c r="D103" s="26" t="inlineStr">
        <is>
          <t>hrom-prom.ru</t>
        </is>
      </c>
      <c r="E103" s="26" t="inlineStr">
        <is>
          <t>https://hrom-prom.ru/покрытие-олово-висмут/</t>
        </is>
      </c>
    </row>
    <row r="104">
      <c r="A104" s="26" t="inlineStr">
        <is>
          <t>покрытие олово-висмут</t>
        </is>
      </c>
      <c r="B104" s="26" t="n">
        <v>4</v>
      </c>
      <c r="C104" s="29" t="inlineStr">
        <is>
          <t>Мини-сайт</t>
        </is>
      </c>
      <c r="D104" s="26" t="inlineStr">
        <is>
          <t>platings.ru</t>
        </is>
      </c>
      <c r="E104" s="26" t="inlineStr">
        <is>
          <t>https://platings.ru/stanum_vismut</t>
        </is>
      </c>
    </row>
    <row r="105">
      <c r="A105" s="26" t="inlineStr">
        <is>
          <t>покрытие олово-висмут</t>
        </is>
      </c>
      <c r="B105" s="26" t="n">
        <v>5</v>
      </c>
      <c r="C105" s="29" t="inlineStr">
        <is>
          <t>Мини-сайт</t>
        </is>
      </c>
      <c r="D105" s="26" t="inlineStr">
        <is>
          <t>galvanica.spb.ru</t>
        </is>
      </c>
      <c r="E105" s="26" t="inlineStr">
        <is>
          <t>https://galvanica.spb.ru/galvanicheskie-pokrytiya/olovo-vismut</t>
        </is>
      </c>
    </row>
    <row r="106">
      <c r="A106" s="26" t="inlineStr">
        <is>
          <t>покрытие олово-висмут</t>
        </is>
      </c>
      <c r="B106" s="26" t="n">
        <v>6</v>
      </c>
      <c r="C106" s="29" t="inlineStr">
        <is>
          <t>Мини-сайт</t>
        </is>
      </c>
      <c r="D106" s="26" t="inlineStr">
        <is>
          <t>vskplast.ru</t>
        </is>
      </c>
      <c r="E106" s="26" t="inlineStr">
        <is>
          <t>https://vskplast.ru/olovyanirovanie_galvanicheskoe/</t>
        </is>
      </c>
    </row>
    <row r="107">
      <c r="A107" s="26" t="inlineStr">
        <is>
          <t>покрытие олово-висмут</t>
        </is>
      </c>
      <c r="B107" s="26" t="n">
        <v>7</v>
      </c>
      <c r="C107" s="27" t="inlineStr">
        <is>
          <t>Средний сайт</t>
        </is>
      </c>
      <c r="D107" s="26" t="inlineStr">
        <is>
          <t>snabtechmet.ru</t>
        </is>
      </c>
      <c r="E107" s="26" t="inlineStr">
        <is>
          <t>https://vlad.snabtechmet.ru/uslugi/pokrytie-izdelij-splavom-olovo-vismut/</t>
        </is>
      </c>
    </row>
    <row r="108">
      <c r="A108" s="26" t="inlineStr">
        <is>
          <t>покрытие олово-висмут</t>
        </is>
      </c>
      <c r="B108" s="26" t="n">
        <v>8</v>
      </c>
      <c r="C108" s="28" t="inlineStr">
        <is>
          <t>Портал / форум / вики</t>
        </is>
      </c>
      <c r="D108" s="26" t="inlineStr">
        <is>
          <t>forum-galvanik.ru</t>
        </is>
      </c>
      <c r="E108" s="26" t="inlineStr">
        <is>
          <t>https://forum-galvanik.ru/topic/640-покрытие-олово-висмут/</t>
        </is>
      </c>
    </row>
    <row r="109">
      <c r="A109" s="26" t="inlineStr">
        <is>
          <t>покрытие олово-висмут</t>
        </is>
      </c>
      <c r="B109" s="26" t="n">
        <v>9</v>
      </c>
      <c r="C109" s="29" t="inlineStr">
        <is>
          <t>Мини-сайт</t>
        </is>
      </c>
      <c r="D109" s="26" t="inlineStr">
        <is>
          <t>zao-techno.ru</t>
        </is>
      </c>
      <c r="E109" s="26" t="inlineStr">
        <is>
          <t>http://www.zao-techno.ru/content/view/31/37/</t>
        </is>
      </c>
    </row>
    <row r="110">
      <c r="A110" s="26" t="inlineStr">
        <is>
          <t>покрытие олово-висмут</t>
        </is>
      </c>
      <c r="B110" s="26" t="n">
        <v>10</v>
      </c>
      <c r="C110" s="27" t="inlineStr">
        <is>
          <t>Средний сайт</t>
        </is>
      </c>
      <c r="D110" s="26" t="inlineStr">
        <is>
          <t>uralactiv.ru</t>
        </is>
      </c>
      <c r="E110" s="26" t="inlineStr">
        <is>
          <t>https://uralactiv.ru/galvanicheskoe-oborudovanie/galvanicheskie-vanny/olovo-vismut/</t>
        </is>
      </c>
    </row>
    <row r="111">
      <c r="A111" s="26" t="inlineStr">
        <is>
          <t>гальваническое меднение</t>
        </is>
      </c>
      <c r="B111" s="26" t="n">
        <v>1</v>
      </c>
      <c r="C111" s="27" t="inlineStr">
        <is>
          <t>Средний сайт</t>
        </is>
      </c>
      <c r="D111" s="26" t="inlineStr">
        <is>
          <t>6mkm.ru</t>
        </is>
      </c>
      <c r="E111" s="26" t="inlineStr">
        <is>
          <t>https://6mkm.ru/nashi-tehnologii/mednenie/mednenie-v-domashnih-usloviyah/</t>
        </is>
      </c>
    </row>
    <row r="112">
      <c r="A112" s="26" t="inlineStr">
        <is>
          <t>гальваническое меднение</t>
        </is>
      </c>
      <c r="B112" s="26" t="n">
        <v>2</v>
      </c>
      <c r="C112" s="27" t="inlineStr">
        <is>
          <t>Средний сайт</t>
        </is>
      </c>
      <c r="D112" s="26" t="inlineStr">
        <is>
          <t>zctc.ru</t>
        </is>
      </c>
      <c r="E112" s="26" t="inlineStr">
        <is>
          <t>https://zctc.ru/sections/cooper</t>
        </is>
      </c>
    </row>
    <row r="113">
      <c r="A113" s="26" t="inlineStr">
        <is>
          <t>гальваническое меднение</t>
        </is>
      </c>
      <c r="B113" s="26" t="n">
        <v>3</v>
      </c>
      <c r="C113" s="27" t="inlineStr">
        <is>
          <t>Средний сайт</t>
        </is>
      </c>
      <c r="D113" s="26" t="inlineStr">
        <is>
          <t>ezetek.ru</t>
        </is>
      </c>
      <c r="E113" s="26" t="inlineStr">
        <is>
          <t>https://ezetek.ru/proizvodstvo/galvanicheskoe-mednenie/</t>
        </is>
      </c>
    </row>
    <row r="114">
      <c r="A114" s="26" t="inlineStr">
        <is>
          <t>гальваническое меднение</t>
        </is>
      </c>
      <c r="B114" s="26" t="n">
        <v>4</v>
      </c>
      <c r="C114" s="29" t="inlineStr">
        <is>
          <t>Мини-сайт</t>
        </is>
      </c>
      <c r="D114" s="26" t="inlineStr">
        <is>
          <t>plast-product.ru</t>
        </is>
      </c>
      <c r="E114" s="26" t="inlineStr">
        <is>
          <t>https://plast-product.ru/galvanicheskoe-mednenie/</t>
        </is>
      </c>
    </row>
    <row r="115">
      <c r="A115" s="26" t="inlineStr">
        <is>
          <t>гальваническое меднение</t>
        </is>
      </c>
      <c r="B115" s="26" t="n">
        <v>6</v>
      </c>
      <c r="C115" s="29" t="inlineStr">
        <is>
          <t>Мини-сайт</t>
        </is>
      </c>
      <c r="D115" s="26" t="inlineStr">
        <is>
          <t>elmaru.ru</t>
        </is>
      </c>
      <c r="E115" s="26" t="inlineStr">
        <is>
          <t>https://elmaru.ru/stats/galvanicheskoe-mednenie-pri-proizvodstve-pechatnyh-plat/</t>
        </is>
      </c>
    </row>
    <row r="116">
      <c r="A116" s="26" t="inlineStr">
        <is>
          <t>гальваническое меднение</t>
        </is>
      </c>
      <c r="B116" s="26" t="n">
        <v>7</v>
      </c>
      <c r="C116" s="29" t="inlineStr">
        <is>
          <t>Мини-сайт</t>
        </is>
      </c>
      <c r="D116" s="26" t="inlineStr">
        <is>
          <t>chemnikel.ru</t>
        </is>
      </c>
      <c r="E116" s="26" t="inlineStr">
        <is>
          <t>https://chemnikel.ru/galvanicheskoe-mednenie/</t>
        </is>
      </c>
    </row>
    <row r="117">
      <c r="A117" s="26" t="inlineStr">
        <is>
          <t>гальваническое меднение</t>
        </is>
      </c>
      <c r="B117" s="26" t="n">
        <v>8</v>
      </c>
      <c r="C117" s="30" t="inlineStr">
        <is>
          <t>Большой сайт</t>
        </is>
      </c>
      <c r="D117" s="26" t="inlineStr">
        <is>
          <t>metatorg.ru</t>
        </is>
      </c>
      <c r="E117" s="26" t="inlineStr">
        <is>
          <t>https://joshkar-ola.metatorg.ru/shop/uslugi/pokrytie-metalla/galvanicheskoe_pokrytie_medyu_mednenie_omednenie/</t>
        </is>
      </c>
    </row>
    <row r="118">
      <c r="A118" s="26" t="inlineStr">
        <is>
          <t>гальваническое меднение</t>
        </is>
      </c>
      <c r="B118" s="26" t="n">
        <v>9</v>
      </c>
      <c r="C118" s="28" t="inlineStr">
        <is>
          <t>Портал / форум / вики</t>
        </is>
      </c>
      <c r="D118" s="26" t="inlineStr">
        <is>
          <t>portal.tpu.ru</t>
        </is>
      </c>
      <c r="E118" s="26" t="inlineStr">
        <is>
          <t>https://portal.tpu.ru/SHARED/o/OTIEV/teaching/Tab1/lab2.pdf</t>
        </is>
      </c>
    </row>
    <row r="119">
      <c r="A119" s="26" t="inlineStr">
        <is>
          <t>гальваническое серебрение</t>
        </is>
      </c>
      <c r="B119" s="26" t="n">
        <v>1</v>
      </c>
      <c r="C119" s="27" t="inlineStr">
        <is>
          <t>Средний сайт</t>
        </is>
      </c>
      <c r="D119" s="26" t="inlineStr">
        <is>
          <t>6mkm.ru</t>
        </is>
      </c>
      <c r="E119" s="26" t="inlineStr">
        <is>
          <t>https://6mkm.ru/serebrenie-v-domashnih-usloviyah/</t>
        </is>
      </c>
    </row>
    <row r="120">
      <c r="A120" s="26" t="inlineStr">
        <is>
          <t>гальваническое серебрение</t>
        </is>
      </c>
      <c r="B120" s="26" t="n">
        <v>2</v>
      </c>
      <c r="C120" s="29" t="inlineStr">
        <is>
          <t>Мини-сайт</t>
        </is>
      </c>
      <c r="D120" s="26" t="inlineStr">
        <is>
          <t>plast-product.ru</t>
        </is>
      </c>
      <c r="E120" s="26" t="inlineStr">
        <is>
          <t>https://plast-product.ru/galvanicheskoe-serebrenie/</t>
        </is>
      </c>
    </row>
    <row r="121">
      <c r="A121" s="26" t="inlineStr">
        <is>
          <t>гальваническое серебрение</t>
        </is>
      </c>
      <c r="B121" s="26" t="n">
        <v>3</v>
      </c>
      <c r="C121" s="29" t="inlineStr">
        <is>
          <t>Мини-сайт</t>
        </is>
      </c>
      <c r="D121" s="26" t="inlineStr">
        <is>
          <t>kaas.spb.ru</t>
        </is>
      </c>
      <c r="E121" s="26" t="inlineStr">
        <is>
          <t>https://kaas.spb.ru/serebrenie/</t>
        </is>
      </c>
    </row>
    <row r="122">
      <c r="A122" s="26" t="inlineStr">
        <is>
          <t>гальваническое серебрение</t>
        </is>
      </c>
      <c r="B122" s="26" t="n">
        <v>5</v>
      </c>
      <c r="C122" s="29" t="inlineStr">
        <is>
          <t>Мини-сайт</t>
        </is>
      </c>
      <c r="D122" s="26" t="inlineStr">
        <is>
          <t>ntmsp.ru</t>
        </is>
      </c>
      <c r="E122" s="26" t="inlineStr">
        <is>
          <t>https://ntmsp.ru/serebrenie/</t>
        </is>
      </c>
    </row>
    <row r="123">
      <c r="A123" s="26" t="inlineStr">
        <is>
          <t>гальваническое серебрение</t>
        </is>
      </c>
      <c r="B123" s="26" t="n">
        <v>6</v>
      </c>
      <c r="C123" s="29" t="inlineStr">
        <is>
          <t>Мини-сайт</t>
        </is>
      </c>
      <c r="D123" s="26" t="inlineStr">
        <is>
          <t>funchrome.ru</t>
        </is>
      </c>
      <c r="E123" s="26" t="inlineStr">
        <is>
          <t>https://funchrome.ru/product/serebreniye-medi-bronzy-latuni/</t>
        </is>
      </c>
    </row>
    <row r="124">
      <c r="A124" s="26" t="inlineStr">
        <is>
          <t>гальваническое серебрение</t>
        </is>
      </c>
      <c r="B124" s="26" t="n">
        <v>7</v>
      </c>
      <c r="C124" s="29" t="inlineStr">
        <is>
          <t>Мини-сайт</t>
        </is>
      </c>
      <c r="D124" s="26" t="inlineStr">
        <is>
          <t>pjew.ru</t>
        </is>
      </c>
      <c r="E124" s="26" t="inlineStr">
        <is>
          <t>https://pjew.ru/galvanika/cherkovnaya/services/serebrenie/</t>
        </is>
      </c>
    </row>
    <row r="125">
      <c r="A125" s="26" t="inlineStr">
        <is>
          <t>гальваническое серебрение</t>
        </is>
      </c>
      <c r="B125" s="26" t="n">
        <v>8</v>
      </c>
      <c r="C125" s="29" t="inlineStr">
        <is>
          <t>Мини-сайт</t>
        </is>
      </c>
      <c r="D125" s="26" t="inlineStr">
        <is>
          <t>vskplast.ru</t>
        </is>
      </c>
      <c r="E125" s="26" t="inlineStr">
        <is>
          <t>https://vskplast.ru/serebrenie_galvanicheskoe/</t>
        </is>
      </c>
    </row>
    <row r="126">
      <c r="A126" s="26" t="inlineStr">
        <is>
          <t>гальваническое серебрение</t>
        </is>
      </c>
      <c r="B126" s="26" t="n">
        <v>9</v>
      </c>
      <c r="C126" s="28" t="inlineStr">
        <is>
          <t>Портал / форум / вики</t>
        </is>
      </c>
      <c r="D126" s="26" t="inlineStr">
        <is>
          <t>chemport.ru</t>
        </is>
      </c>
      <c r="E126" s="26" t="inlineStr">
        <is>
          <t>https://chemport.ru/forum/viewtopic.php?t=5954</t>
        </is>
      </c>
    </row>
    <row r="127">
      <c r="A127" s="26" t="inlineStr">
        <is>
          <t>гальваническое серебрение</t>
        </is>
      </c>
      <c r="B127" s="26" t="n">
        <v>10</v>
      </c>
      <c r="C127" s="29" t="inlineStr">
        <is>
          <t>Мини-сайт</t>
        </is>
      </c>
      <c r="D127" s="26" t="inlineStr">
        <is>
          <t>elmaru.ru</t>
        </is>
      </c>
      <c r="E127" s="26" t="inlineStr">
        <is>
          <t>https://elmaru.ru/process/galvanicheskoe-osazhdenie-serebra-elnis-1000/</t>
        </is>
      </c>
    </row>
    <row r="128">
      <c r="A128" s="26" t="inlineStr">
        <is>
          <t>гальваническое золочение</t>
        </is>
      </c>
      <c r="B128" s="26" t="n">
        <v>2</v>
      </c>
      <c r="C128" s="28" t="inlineStr">
        <is>
          <t>Портал / форум / вики</t>
        </is>
      </c>
      <c r="D128" s="26" t="inlineStr">
        <is>
          <t>ozon.ru</t>
        </is>
      </c>
      <c r="E128" s="26" t="inlineStr">
        <is>
          <t>https://www.ozon.ru/galvanicheskoe-zolochenie</t>
        </is>
      </c>
    </row>
    <row r="129">
      <c r="A129" s="26" t="inlineStr">
        <is>
          <t>гальваническое золочение</t>
        </is>
      </c>
      <c r="B129" s="26" t="n">
        <v>3</v>
      </c>
      <c r="C129" s="29" t="inlineStr">
        <is>
          <t>Мини-сайт</t>
        </is>
      </c>
      <c r="D129" s="26" t="inlineStr">
        <is>
          <t>plast-product.ru</t>
        </is>
      </c>
      <c r="E129" s="26" t="inlineStr">
        <is>
          <t>https://plast-product.ru/Полезное</t>
        </is>
      </c>
    </row>
    <row r="130">
      <c r="A130" s="26" t="inlineStr">
        <is>
          <t>гальваническое золочение</t>
        </is>
      </c>
      <c r="B130" s="26" t="n">
        <v>4</v>
      </c>
      <c r="C130" s="27" t="inlineStr">
        <is>
          <t>Средний сайт</t>
        </is>
      </c>
      <c r="D130" s="26" t="inlineStr">
        <is>
          <t>6mkm.ru</t>
        </is>
      </c>
      <c r="E130" s="26" t="inlineStr">
        <is>
          <t>https://6mkm.ru/Наши</t>
        </is>
      </c>
    </row>
    <row r="131">
      <c r="A131" s="26" t="inlineStr">
        <is>
          <t>гальваническое золочение</t>
        </is>
      </c>
      <c r="B131" s="26" t="n">
        <v>5</v>
      </c>
      <c r="C131" s="29" t="inlineStr">
        <is>
          <t>Мини-сайт</t>
        </is>
      </c>
      <c r="D131" s="26" t="inlineStr">
        <is>
          <t>mademetall.ru</t>
        </is>
      </c>
      <c r="E131" s="26" t="inlineStr">
        <is>
          <t>https://mademetall.ru/</t>
        </is>
      </c>
    </row>
    <row r="132">
      <c r="A132" s="26" t="inlineStr">
        <is>
          <t>гальваническое золочение</t>
        </is>
      </c>
      <c r="B132" s="26" t="n">
        <v>7</v>
      </c>
      <c r="C132" s="29" t="inlineStr">
        <is>
          <t>Мини-сайт</t>
        </is>
      </c>
      <c r="D132" s="26" t="inlineStr">
        <is>
          <t>kr-presnya.ru</t>
        </is>
      </c>
      <c r="E132" s="26" t="inlineStr">
        <is>
          <t>https://kr-presnya.ru/galvanicheskie-pokrytiya</t>
        </is>
      </c>
    </row>
    <row r="133">
      <c r="A133" s="26" t="inlineStr">
        <is>
          <t>гальваническое золочение</t>
        </is>
      </c>
      <c r="B133" s="26" t="n">
        <v>8</v>
      </c>
      <c r="C133" s="29" t="inlineStr">
        <is>
          <t>Мини-сайт</t>
        </is>
      </c>
      <c r="D133" s="26" t="inlineStr">
        <is>
          <t>vskplast.ru</t>
        </is>
      </c>
      <c r="E133" s="26" t="inlineStr">
        <is>
          <t>https://vskplast.ru/Статьи</t>
        </is>
      </c>
    </row>
    <row r="134">
      <c r="A134" s="26" t="inlineStr">
        <is>
          <t>гальваническое золочение</t>
        </is>
      </c>
      <c r="B134" s="26" t="n">
        <v>9</v>
      </c>
      <c r="C134" s="29" t="inlineStr">
        <is>
          <t>Мини-сайт</t>
        </is>
      </c>
      <c r="D134" s="26" t="inlineStr">
        <is>
          <t>funchrome.ru</t>
        </is>
      </c>
      <c r="E134" s="26" t="inlineStr">
        <is>
          <t>https://funchrome.ru/</t>
        </is>
      </c>
    </row>
    <row r="135">
      <c r="A135" s="26" t="inlineStr">
        <is>
          <t>гальваническое золочение</t>
        </is>
      </c>
      <c r="B135" s="26" t="n">
        <v>10</v>
      </c>
      <c r="C135" s="28" t="inlineStr">
        <is>
          <t>Портал / форум / вики</t>
        </is>
      </c>
      <c r="D135" s="26" t="inlineStr">
        <is>
          <t>forum-galvanik.ru</t>
        </is>
      </c>
      <c r="E135" s="26" t="inlineStr">
        <is>
          <t>https://forum-galvanik.ru/topic</t>
        </is>
      </c>
    </row>
    <row r="136">
      <c r="A136" s="26" t="inlineStr">
        <is>
          <t>лазерная резка нержавейки</t>
        </is>
      </c>
      <c r="B136" s="26" t="n">
        <v>2</v>
      </c>
      <c r="C136" s="27" t="inlineStr">
        <is>
          <t>Средний сайт</t>
        </is>
      </c>
      <c r="D136" s="26" t="inlineStr">
        <is>
          <t>gravernu.ru</t>
        </is>
      </c>
      <c r="E136" s="26" t="inlineStr">
        <is>
          <t>https://gravernu.ru/obrabotka-materialov/lazernaya-rezka/lazernaya-rezka-metallov/rezka-nerzhaveyushhej-stali</t>
        </is>
      </c>
    </row>
    <row r="137">
      <c r="A137" s="26" t="inlineStr">
        <is>
          <t>лазерная резка нержавейки</t>
        </is>
      </c>
      <c r="B137" s="26" t="n">
        <v>3</v>
      </c>
      <c r="C137" s="27" t="inlineStr">
        <is>
          <t>Средний сайт</t>
        </is>
      </c>
      <c r="D137" s="26" t="inlineStr">
        <is>
          <t>promexcut.ru</t>
        </is>
      </c>
      <c r="E137" s="26" t="inlineStr">
        <is>
          <t>https://promexcut.ru/lazernaya-rezka/nerzhavejushhaya-stal</t>
        </is>
      </c>
    </row>
    <row r="138">
      <c r="A138" s="26" t="inlineStr">
        <is>
          <t>лазерная резка нержавейки</t>
        </is>
      </c>
      <c r="B138" s="26" t="n">
        <v>4</v>
      </c>
      <c r="C138" s="30" t="inlineStr">
        <is>
          <t>Большой сайт</t>
        </is>
      </c>
      <c r="D138" s="26" t="inlineStr">
        <is>
          <t>vt-metall.ru</t>
        </is>
      </c>
      <c r="E138" s="26" t="inlineStr">
        <is>
          <t>https://vt-metall.ru/articles/138-rezka-nerzhaveiki-laserom/</t>
        </is>
      </c>
    </row>
    <row r="139">
      <c r="A139" s="26" t="inlineStr">
        <is>
          <t>лазерная резка нержавейки</t>
        </is>
      </c>
      <c r="B139" s="26" t="n">
        <v>6</v>
      </c>
      <c r="C139" s="27" t="inlineStr">
        <is>
          <t>Средний сайт</t>
        </is>
      </c>
      <c r="D139" s="26" t="inlineStr">
        <is>
          <t>semtreugolnikov.ru</t>
        </is>
      </c>
      <c r="E139" s="26" t="inlineStr">
        <is>
          <t>https://semtreugolnikov.ru/rezka-nerzhaveyushchej-stali</t>
        </is>
      </c>
    </row>
    <row r="140">
      <c r="A140" s="26" t="inlineStr">
        <is>
          <t>лазерная резка нержавейки</t>
        </is>
      </c>
      <c r="B140" s="26" t="n">
        <v>7</v>
      </c>
      <c r="C140" s="29" t="inlineStr">
        <is>
          <t>Мини-сайт</t>
        </is>
      </c>
      <c r="D140" s="26" t="inlineStr">
        <is>
          <t>perfosteel.ru</t>
        </is>
      </c>
      <c r="E140" s="26" t="inlineStr">
        <is>
          <t>https://perfosteel.ru/services/lazernaya-rezka-listovogo-metalla/nerzhaveyushhej-stali/</t>
        </is>
      </c>
    </row>
    <row r="141">
      <c r="A141" s="26" t="inlineStr">
        <is>
          <t>лазерная резка нержавейки</t>
        </is>
      </c>
      <c r="B141" s="26" t="n">
        <v>8</v>
      </c>
      <c r="C141" s="27" t="inlineStr">
        <is>
          <t>Средний сайт</t>
        </is>
      </c>
      <c r="D141" s="26" t="inlineStr">
        <is>
          <t>premier-laser.ru</t>
        </is>
      </c>
      <c r="E141" s="26" t="inlineStr">
        <is>
          <t>https://premier-laser.ru/lazernaya-rezka-nerzhaveyki/</t>
        </is>
      </c>
    </row>
    <row r="142">
      <c r="A142" s="26" t="inlineStr">
        <is>
          <t>лазерная резка нержавейки</t>
        </is>
      </c>
      <c r="B142" s="26" t="n">
        <v>9</v>
      </c>
      <c r="C142" s="27" t="inlineStr">
        <is>
          <t>Средний сайт</t>
        </is>
      </c>
      <c r="D142" s="26" t="inlineStr">
        <is>
          <t>metall-24.ru</t>
        </is>
      </c>
      <c r="E142" s="26" t="inlineStr">
        <is>
          <t>https://metall-24.ru/services/rezka-nerzhaveyki/</t>
        </is>
      </c>
    </row>
    <row r="143">
      <c r="A143" s="26" t="inlineStr">
        <is>
          <t>лазерная резка нержавейки</t>
        </is>
      </c>
      <c r="B143" s="26" t="n">
        <v>10</v>
      </c>
      <c r="C143" s="29" t="inlineStr">
        <is>
          <t>Мини-сайт</t>
        </is>
      </c>
      <c r="D143" s="26" t="inlineStr">
        <is>
          <t>plazma-spb.ru</t>
        </is>
      </c>
      <c r="E143" s="26" t="inlineStr">
        <is>
          <t>https://plazma-spb.ru/lazernaja-rezka-nerjaveuchey-stali/</t>
        </is>
      </c>
    </row>
    <row r="144">
      <c r="A144" s="26" t="inlineStr">
        <is>
          <t>лазерная резка металла</t>
        </is>
      </c>
      <c r="B144" s="26" t="n">
        <v>2</v>
      </c>
      <c r="C144" s="30" t="inlineStr">
        <is>
          <t>Большой сайт</t>
        </is>
      </c>
      <c r="D144" s="26" t="inlineStr">
        <is>
          <t>lasercut.ru</t>
        </is>
      </c>
      <c r="E144" s="26" t="inlineStr">
        <is>
          <t>https://lasercut.ru/Каталог/Станки</t>
        </is>
      </c>
    </row>
    <row r="145">
      <c r="A145" s="26" t="inlineStr">
        <is>
          <t>лазерная резка металла</t>
        </is>
      </c>
      <c r="B145" s="26" t="n">
        <v>3</v>
      </c>
      <c r="C145" s="28" t="inlineStr">
        <is>
          <t>Портал / форум / вики</t>
        </is>
      </c>
      <c r="D145" s="26" t="inlineStr">
        <is>
          <t>ozon.ru</t>
        </is>
      </c>
      <c r="E145" s="26" t="inlineStr">
        <is>
          <t>https://www.ozon.ru/lazernaya-rezka-metalla-stanok</t>
        </is>
      </c>
    </row>
    <row r="146">
      <c r="A146" s="26" t="inlineStr">
        <is>
          <t>лазерная резка металла</t>
        </is>
      </c>
      <c r="B146" s="26" t="n">
        <v>5</v>
      </c>
      <c r="C146" s="27" t="inlineStr">
        <is>
          <t>Средний сайт</t>
        </is>
      </c>
      <c r="D146" s="26" t="inlineStr">
        <is>
          <t>uptk65.ru</t>
        </is>
      </c>
      <c r="E146" s="26" t="inlineStr">
        <is>
          <t>https://uptk65.ru/blog/chto-takoe-lazernaya-rezka</t>
        </is>
      </c>
    </row>
    <row r="147">
      <c r="A147" s="26" t="inlineStr">
        <is>
          <t>лазерная резка металла</t>
        </is>
      </c>
      <c r="B147" s="26" t="n">
        <v>6</v>
      </c>
      <c r="C147" s="27" t="inlineStr">
        <is>
          <t>Средний сайт</t>
        </is>
      </c>
      <c r="D147" s="26" t="inlineStr">
        <is>
          <t>mc24.ru</t>
        </is>
      </c>
      <c r="E147" s="26" t="inlineStr">
        <is>
          <t>https://mc24.ru/figurnaya-i-khudozhestvennaya</t>
        </is>
      </c>
    </row>
    <row r="148">
      <c r="A148" s="26" t="inlineStr">
        <is>
          <t>лазерная резка металла</t>
        </is>
      </c>
      <c r="B148" s="26" t="n">
        <v>7</v>
      </c>
      <c r="C148" s="27" t="inlineStr">
        <is>
          <t>Средний сайт</t>
        </is>
      </c>
      <c r="D148" s="26" t="inlineStr">
        <is>
          <t>premier-laser.ru</t>
        </is>
      </c>
      <c r="E148" s="26" t="inlineStr">
        <is>
          <t>https://premier-laser.ru/Блог</t>
        </is>
      </c>
    </row>
    <row r="149">
      <c r="A149" s="26" t="inlineStr">
        <is>
          <t>лазерная резка металла</t>
        </is>
      </c>
      <c r="B149" s="26" t="n">
        <v>8</v>
      </c>
      <c r="C149" s="28" t="inlineStr">
        <is>
          <t>Портал / форум / вики</t>
        </is>
      </c>
      <c r="D149" s="26" t="inlineStr">
        <is>
          <t>ru.wikipedia.org</t>
        </is>
      </c>
      <c r="E149" s="26" t="inlineStr">
        <is>
          <t>https://ru.wikipedia.org/wiki/Лазерная_резка</t>
        </is>
      </c>
    </row>
    <row r="150">
      <c r="A150" s="26" t="inlineStr">
        <is>
          <t>лазерная резка металла</t>
        </is>
      </c>
      <c r="B150" s="26" t="n">
        <v>9</v>
      </c>
      <c r="C150" s="27" t="inlineStr">
        <is>
          <t>Средний сайт</t>
        </is>
      </c>
      <c r="D150" s="26" t="inlineStr">
        <is>
          <t>altesa.ru</t>
        </is>
      </c>
      <c r="E150" s="26" t="inlineStr">
        <is>
          <t>https://altesa.ru/Каталог</t>
        </is>
      </c>
    </row>
    <row r="151">
      <c r="A151" s="26" t="inlineStr">
        <is>
          <t>лазерная резка металла</t>
        </is>
      </c>
      <c r="B151" s="26" t="n">
        <v>10</v>
      </c>
      <c r="C151" s="29" t="inlineStr">
        <is>
          <t>Мини-сайт</t>
        </is>
      </c>
      <c r="D151" s="26" t="inlineStr">
        <is>
          <t>antaeus.ru</t>
        </is>
      </c>
      <c r="E151" s="26" t="inlineStr">
        <is>
          <t>https://www.antaeus.ru/Статьи</t>
        </is>
      </c>
    </row>
    <row r="152">
      <c r="A152" s="26" t="inlineStr">
        <is>
          <t>пассивация нержавейки</t>
        </is>
      </c>
      <c r="B152" s="26" t="n">
        <v>2</v>
      </c>
      <c r="C152" s="27" t="inlineStr">
        <is>
          <t>Средний сайт</t>
        </is>
      </c>
      <c r="D152" s="26" t="inlineStr">
        <is>
          <t>pharmawater.ru</t>
        </is>
      </c>
      <c r="E152" s="26" t="inlineStr">
        <is>
          <t>https://pharmawater.ru/about/stati/passivaciya-nerzhaveyushchej-stali/</t>
        </is>
      </c>
    </row>
    <row r="153">
      <c r="A153" s="26" t="inlineStr">
        <is>
          <t>пассивация нержавейки</t>
        </is>
      </c>
      <c r="B153" s="26" t="n">
        <v>4</v>
      </c>
      <c r="C153" s="28" t="inlineStr">
        <is>
          <t>Портал / форум / вики</t>
        </is>
      </c>
      <c r="D153" s="26" t="inlineStr">
        <is>
          <t>morvesti.ru</t>
        </is>
      </c>
      <c r="E153" s="26" t="inlineStr">
        <is>
          <t>https://morvesti.ru/analitika/1685/81153/</t>
        </is>
      </c>
    </row>
    <row r="154">
      <c r="A154" s="26" t="inlineStr">
        <is>
          <t>пассивация нержавейки</t>
        </is>
      </c>
      <c r="B154" s="26" t="n">
        <v>5</v>
      </c>
      <c r="C154" s="28" t="inlineStr">
        <is>
          <t>Портал / форум / вики</t>
        </is>
      </c>
      <c r="D154" s="26" t="inlineStr">
        <is>
          <t>chipmaker.ru</t>
        </is>
      </c>
      <c r="E154" s="26" t="inlineStr">
        <is>
          <t>https://www.chipmaker.ru/topic/57138/</t>
        </is>
      </c>
    </row>
    <row r="155">
      <c r="A155" s="26" t="inlineStr">
        <is>
          <t>пассивация нержавейки</t>
        </is>
      </c>
      <c r="B155" s="26" t="n">
        <v>6</v>
      </c>
      <c r="C155" s="29" t="inlineStr">
        <is>
          <t>Мини-сайт</t>
        </is>
      </c>
      <c r="D155" s="26" t="inlineStr">
        <is>
          <t>runwillpools.ru</t>
        </is>
      </c>
      <c r="E155" s="26" t="inlineStr">
        <is>
          <t>https://runwillpools.ru/news/elektrokhimicheskaya_passivatsiya_nerzhaveyushchey_stali/</t>
        </is>
      </c>
    </row>
    <row r="156">
      <c r="A156" s="26" t="inlineStr">
        <is>
          <t>пассивация нержавейки</t>
        </is>
      </c>
      <c r="B156" s="26" t="n">
        <v>7</v>
      </c>
      <c r="C156" s="29" t="inlineStr">
        <is>
          <t>Мини-сайт</t>
        </is>
      </c>
      <c r="D156" s="26" t="inlineStr">
        <is>
          <t>cip-system.ru</t>
        </is>
      </c>
      <c r="E156" s="26" t="inlineStr">
        <is>
          <t>https://cip-system.ru/stati/ochistka-i-passivaciya-svarnyh-shvov</t>
        </is>
      </c>
    </row>
    <row r="157">
      <c r="A157" s="26" t="inlineStr">
        <is>
          <t>пассивация нержавейки</t>
        </is>
      </c>
      <c r="B157" s="26" t="n">
        <v>8</v>
      </c>
      <c r="C157" s="27" t="inlineStr">
        <is>
          <t>Средний сайт</t>
        </is>
      </c>
      <c r="D157" s="26" t="inlineStr">
        <is>
          <t>zctc.ru</t>
        </is>
      </c>
      <c r="E157" s="26" t="inlineStr">
        <is>
          <t>https://zctc.ru/products/passivaciya_nerjavejushej_stali</t>
        </is>
      </c>
    </row>
    <row r="158">
      <c r="A158" s="26" t="inlineStr">
        <is>
          <t>пассивация нержавейки</t>
        </is>
      </c>
      <c r="B158" s="26" t="n">
        <v>9</v>
      </c>
      <c r="C158" s="30" t="inlineStr">
        <is>
          <t>Большой сайт</t>
        </is>
      </c>
      <c r="D158" s="26" t="inlineStr">
        <is>
          <t>stankoff.ru</t>
        </is>
      </c>
      <c r="E158" s="26" t="inlineStr">
        <is>
          <t>https://www.stankoff.ru/blog/post/782</t>
        </is>
      </c>
    </row>
    <row r="159">
      <c r="A159" s="26" t="inlineStr">
        <is>
          <t>пассивация нержавейки</t>
        </is>
      </c>
      <c r="B159" s="26" t="n">
        <v>10</v>
      </c>
      <c r="C159" s="30" t="inlineStr">
        <is>
          <t>Большой сайт</t>
        </is>
      </c>
      <c r="D159" s="26" t="inlineStr">
        <is>
          <t>inner.su</t>
        </is>
      </c>
      <c r="E159" s="26" t="inlineStr">
        <is>
          <t>https://inner.su/articles/passivatsiya-nerzhaveyki-eto/</t>
        </is>
      </c>
    </row>
    <row r="160">
      <c r="A160" s="26" t="inlineStr">
        <is>
          <t>травление нержавеющей стали</t>
        </is>
      </c>
      <c r="B160" s="26" t="n">
        <v>2</v>
      </c>
      <c r="C160" s="29" t="inlineStr">
        <is>
          <t>Мини-сайт</t>
        </is>
      </c>
      <c r="D160" s="26" t="inlineStr">
        <is>
          <t>stankiexpert.ru</t>
        </is>
      </c>
      <c r="E160" s="26" t="inlineStr">
        <is>
          <t>https://stankiexpert.ru/spravochnik/materialovedenie/travlenie-nerzhaveyushhejj-stali.html</t>
        </is>
      </c>
    </row>
    <row r="161">
      <c r="A161" s="26" t="inlineStr">
        <is>
          <t>травление нержавеющей стали</t>
        </is>
      </c>
      <c r="B161" s="26" t="n">
        <v>3</v>
      </c>
      <c r="C161" s="29" t="inlineStr">
        <is>
          <t>Мини-сайт</t>
        </is>
      </c>
      <c r="D161" s="26" t="inlineStr">
        <is>
          <t>solidiron.ru</t>
        </is>
      </c>
      <c r="E161" s="26" t="inlineStr">
        <is>
          <t>https://solidiron.ru/steel/travlenie-nerzhaveyushhejj-stali-pokazaniya-metody-travleniya.html</t>
        </is>
      </c>
    </row>
    <row r="162">
      <c r="A162" s="26" t="inlineStr">
        <is>
          <t>травление нержавеющей стали</t>
        </is>
      </c>
      <c r="B162" s="26" t="n">
        <v>4</v>
      </c>
      <c r="C162" s="29" t="inlineStr">
        <is>
          <t>Мини-сайт</t>
        </is>
      </c>
      <c r="D162" s="26" t="inlineStr">
        <is>
          <t>vtorexpo.ru</t>
        </is>
      </c>
      <c r="E162" s="26" t="inlineStr">
        <is>
          <t>https://vtorexpo.ru/galvanika/travlenie-nerzhaveyushhej-stali-na-domu.html</t>
        </is>
      </c>
    </row>
    <row r="163">
      <c r="A163" s="26" t="inlineStr">
        <is>
          <t>травление нержавеющей стали</t>
        </is>
      </c>
      <c r="B163" s="26" t="n">
        <v>5</v>
      </c>
      <c r="C163" s="29" t="inlineStr">
        <is>
          <t>Мини-сайт</t>
        </is>
      </c>
      <c r="D163" s="26" t="inlineStr">
        <is>
          <t>stalevarim.ru</t>
        </is>
      </c>
      <c r="E163" s="26" t="inlineStr">
        <is>
          <t>http://stalevarim.ru/pub/travlenie-nerzhaveuschih-staley/</t>
        </is>
      </c>
    </row>
    <row r="164">
      <c r="A164" s="26" t="inlineStr">
        <is>
          <t>травление нержавеющей стали</t>
        </is>
      </c>
      <c r="B164" s="26" t="n">
        <v>7</v>
      </c>
      <c r="C164" s="29" t="inlineStr">
        <is>
          <t>Мини-сайт</t>
        </is>
      </c>
      <c r="D164" s="26" t="inlineStr">
        <is>
          <t>met-all.org</t>
        </is>
      </c>
      <c r="E164" s="26" t="inlineStr">
        <is>
          <t>http://met-all.org/stal/obrabotka-nerzhaveyushhej-stali-travlenie-shlifovanie-satinirovanie.html</t>
        </is>
      </c>
    </row>
    <row r="165">
      <c r="A165" s="26" t="inlineStr">
        <is>
          <t>травление нержавеющей стали</t>
        </is>
      </c>
      <c r="B165" s="26" t="n">
        <v>8</v>
      </c>
      <c r="C165" s="29" t="inlineStr">
        <is>
          <t>Мини-сайт</t>
        </is>
      </c>
      <c r="D165" s="26" t="inlineStr">
        <is>
          <t>instanko.ru</t>
        </is>
      </c>
      <c r="E165" s="26" t="inlineStr">
        <is>
          <t>https://instanko.ru/drugoe/travlenie-nerzhavejki.html</t>
        </is>
      </c>
    </row>
    <row r="166">
      <c r="A166" s="26" t="inlineStr">
        <is>
          <t>травление нержавеющей стали</t>
        </is>
      </c>
      <c r="B166" s="26" t="n">
        <v>9</v>
      </c>
      <c r="C166" s="29" t="inlineStr">
        <is>
          <t>Мини-сайт</t>
        </is>
      </c>
      <c r="D166" s="26" t="inlineStr">
        <is>
          <t>steelfactoryrus.com</t>
        </is>
      </c>
      <c r="E166" s="26" t="inlineStr">
        <is>
          <t>https://steelfactoryrus.com/travlenie-nerzhaveyuschey-stali-v-domashnih-usloviyah/</t>
        </is>
      </c>
    </row>
    <row r="167">
      <c r="A167" s="26" t="inlineStr">
        <is>
          <t>травление нержавеющей стали</t>
        </is>
      </c>
      <c r="B167" s="26" t="n">
        <v>10</v>
      </c>
      <c r="C167" s="30" t="inlineStr">
        <is>
          <t>Большой сайт</t>
        </is>
      </c>
      <c r="D167" s="26" t="inlineStr">
        <is>
          <t>chem21.info</t>
        </is>
      </c>
      <c r="E167" s="26" t="inlineStr">
        <is>
          <t>https://www.chem21.info/info/945115/</t>
        </is>
      </c>
    </row>
    <row r="168">
      <c r="A168" s="26" t="inlineStr">
        <is>
          <t>гидроабразивная резка металла</t>
        </is>
      </c>
      <c r="B168" s="26" t="n">
        <v>2</v>
      </c>
      <c r="C168" s="29" t="inlineStr">
        <is>
          <t>Мини-сайт</t>
        </is>
      </c>
      <c r="D168" s="26" t="inlineStr">
        <is>
          <t>kit-cut.ru</t>
        </is>
      </c>
      <c r="E168" s="26" t="inlineStr">
        <is>
          <t>https://kit-cut.ru/</t>
        </is>
      </c>
    </row>
    <row r="169">
      <c r="A169" s="26" t="inlineStr">
        <is>
          <t>гидроабразивная резка металла</t>
        </is>
      </c>
      <c r="B169" s="26" t="n">
        <v>3</v>
      </c>
      <c r="C169" s="29" t="inlineStr">
        <is>
          <t>Мини-сайт</t>
        </is>
      </c>
      <c r="D169" s="26" t="inlineStr">
        <is>
          <t>shtorm.ru</t>
        </is>
      </c>
      <c r="E169" s="26" t="inlineStr">
        <is>
          <t>https://shtorm.ru/info/articles/tekhnologiya-gidroabrazivnoy-rezki-/</t>
        </is>
      </c>
    </row>
    <row r="170">
      <c r="A170" s="26" t="inlineStr">
        <is>
          <t>гидроабразивная резка металла</t>
        </is>
      </c>
      <c r="B170" s="26" t="n">
        <v>4</v>
      </c>
      <c r="C170" s="28" t="inlineStr">
        <is>
          <t>Портал / форум / вики</t>
        </is>
      </c>
      <c r="D170" s="26" t="inlineStr">
        <is>
          <t>ru.wikipedia.org</t>
        </is>
      </c>
      <c r="E170" s="26" t="inlineStr">
        <is>
          <t>https://ru.wikipedia.org/wiki/Гидроабразивная_резка</t>
        </is>
      </c>
    </row>
    <row r="171">
      <c r="A171" s="26" t="inlineStr">
        <is>
          <t>гидроабразивная резка металла</t>
        </is>
      </c>
      <c r="B171" s="26" t="n">
        <v>6</v>
      </c>
      <c r="C171" s="27" t="inlineStr">
        <is>
          <t>Средний сайт</t>
        </is>
      </c>
      <c r="D171" s="26" t="inlineStr">
        <is>
          <t>utk-steel.ru</t>
        </is>
      </c>
      <c r="E171" s="26" t="inlineStr">
        <is>
          <t>https://utk-steel.ru/services/rezka/gidroabrazivnaya-rezka/</t>
        </is>
      </c>
    </row>
    <row r="172">
      <c r="A172" s="26" t="inlineStr">
        <is>
          <t>гидроабразивная резка металла</t>
        </is>
      </c>
      <c r="B172" s="26" t="n">
        <v>7</v>
      </c>
      <c r="C172" s="30" t="inlineStr">
        <is>
          <t>Большой сайт</t>
        </is>
      </c>
      <c r="D172" s="26" t="inlineStr">
        <is>
          <t>stankoff.ru</t>
        </is>
      </c>
      <c r="E172" s="26" t="inlineStr">
        <is>
          <t>https://www.stankoff.ru/blog/post/690</t>
        </is>
      </c>
    </row>
    <row r="173">
      <c r="A173" s="26" t="inlineStr">
        <is>
          <t>гидроабразивная резка металла</t>
        </is>
      </c>
      <c r="B173" s="26" t="n">
        <v>8</v>
      </c>
      <c r="C173" s="29" t="inlineStr">
        <is>
          <t>Мини-сайт</t>
        </is>
      </c>
      <c r="D173" s="26" t="inlineStr">
        <is>
          <t>listmet.ru</t>
        </is>
      </c>
      <c r="E173" s="26" t="inlineStr">
        <is>
          <t>https://listmet.ru/services/production/</t>
        </is>
      </c>
    </row>
    <row r="174">
      <c r="A174" s="26" t="inlineStr">
        <is>
          <t>гидроабразивная резка металла</t>
        </is>
      </c>
      <c r="B174" s="26" t="n">
        <v>9</v>
      </c>
      <c r="C174" s="27" t="inlineStr">
        <is>
          <t>Средний сайт</t>
        </is>
      </c>
      <c r="D174" s="26" t="inlineStr">
        <is>
          <t>laserstore.ru</t>
        </is>
      </c>
      <c r="E174" s="26" t="inlineStr">
        <is>
          <t>https://laserstore.ru/blog/gidroabrazivnaya-rezka/</t>
        </is>
      </c>
    </row>
    <row r="175">
      <c r="A175" s="26" t="inlineStr">
        <is>
          <t>гидроабразивная резка металла</t>
        </is>
      </c>
      <c r="B175" s="26" t="n">
        <v>10</v>
      </c>
      <c r="C175" s="27" t="inlineStr">
        <is>
          <t>Средний сайт</t>
        </is>
      </c>
      <c r="D175" s="26" t="inlineStr">
        <is>
          <t>promexcut.ru</t>
        </is>
      </c>
      <c r="E175" s="26" t="inlineStr">
        <is>
          <t>https://promexcut.ru/gidroabrazivnaya-rezka</t>
        </is>
      </c>
    </row>
    <row r="176">
      <c r="A176" s="26" t="inlineStr">
        <is>
          <t>электрохимическая полировка</t>
        </is>
      </c>
      <c r="B176" s="26" t="n">
        <v>2</v>
      </c>
      <c r="C176" s="28" t="inlineStr">
        <is>
          <t>Портал / форум / вики</t>
        </is>
      </c>
      <c r="D176" s="26" t="inlineStr">
        <is>
          <t>habr.com</t>
        </is>
      </c>
      <c r="E176" s="26" t="inlineStr">
        <is>
          <t>https://habr.com/ru/companies/ruvds/articles/910370/</t>
        </is>
      </c>
    </row>
    <row r="177">
      <c r="A177" s="26" t="inlineStr">
        <is>
          <t>электрохимическая полировка</t>
        </is>
      </c>
      <c r="B177" s="26" t="n">
        <v>3</v>
      </c>
      <c r="C177" s="29" t="inlineStr">
        <is>
          <t>Мини-сайт</t>
        </is>
      </c>
      <c r="D177" s="26" t="inlineStr">
        <is>
          <t>platings.ru</t>
        </is>
      </c>
      <c r="E177" s="26" t="inlineStr">
        <is>
          <t>https://platings.ru/polish_ssteel</t>
        </is>
      </c>
    </row>
    <row r="178">
      <c r="A178" s="26" t="inlineStr">
        <is>
          <t>электрохимическая полировка</t>
        </is>
      </c>
      <c r="B178" s="26" t="n">
        <v>5</v>
      </c>
      <c r="C178" s="29" t="inlineStr">
        <is>
          <t>Мини-сайт</t>
        </is>
      </c>
      <c r="D178" s="26" t="inlineStr">
        <is>
          <t>vladresurs.ru</t>
        </is>
      </c>
      <c r="E178" s="26" t="inlineStr">
        <is>
          <t>https://vladresurs.ru/elektrohimicheskaya-polirovka-stali</t>
        </is>
      </c>
    </row>
    <row r="179">
      <c r="A179" s="26" t="inlineStr">
        <is>
          <t>электрохимическая полировка</t>
        </is>
      </c>
      <c r="B179" s="26" t="n">
        <v>6</v>
      </c>
      <c r="C179" s="27" t="inlineStr">
        <is>
          <t>Средний сайт</t>
        </is>
      </c>
      <c r="D179" s="26" t="inlineStr">
        <is>
          <t>ooomedikon.ru</t>
        </is>
      </c>
      <c r="E179" s="26" t="inlineStr">
        <is>
          <t>https://ooomedikon.ru/articles/elektrokhimicheskaya-polirovka-nerzhaveyushchey-stali-chto-eto/</t>
        </is>
      </c>
    </row>
    <row r="180">
      <c r="A180" s="26" t="inlineStr">
        <is>
          <t>электрохимическая полировка</t>
        </is>
      </c>
      <c r="B180" s="26" t="n">
        <v>7</v>
      </c>
      <c r="C180" s="28" t="inlineStr">
        <is>
          <t>Портал / форум / вики</t>
        </is>
      </c>
      <c r="D180" s="26" t="inlineStr">
        <is>
          <t>chipmaker.ru</t>
        </is>
      </c>
      <c r="E180" s="26" t="inlineStr">
        <is>
          <t>https://www.chipmaker.ru/topic/55/</t>
        </is>
      </c>
    </row>
    <row r="181">
      <c r="A181" s="26" t="inlineStr">
        <is>
          <t>электрохимическая полировка</t>
        </is>
      </c>
      <c r="B181" s="26" t="n">
        <v>8</v>
      </c>
      <c r="C181" s="27" t="inlineStr">
        <is>
          <t>Средний сайт</t>
        </is>
      </c>
      <c r="D181" s="26" t="inlineStr">
        <is>
          <t>sapphire.ru</t>
        </is>
      </c>
      <c r="E181" s="26" t="inlineStr">
        <is>
          <t>https://www.sapphire.ru/categories/elektrokhimicheskaya-polirovka-otes-epag-1</t>
        </is>
      </c>
    </row>
    <row r="182">
      <c r="A182" s="26" t="inlineStr">
        <is>
          <t>электрохимическая полировка</t>
        </is>
      </c>
      <c r="B182" s="26" t="n">
        <v>9</v>
      </c>
      <c r="C182" s="27" t="inlineStr">
        <is>
          <t>Средний сайт</t>
        </is>
      </c>
      <c r="D182" s="26" t="inlineStr">
        <is>
          <t>zctc.ru</t>
        </is>
      </c>
      <c r="E182" s="26" t="inlineStr">
        <is>
          <t>https://zctc.ru/sections/tehnologiya-processa-polirovaniya-nerjavejki</t>
        </is>
      </c>
    </row>
    <row r="183">
      <c r="A183" s="26" t="inlineStr">
        <is>
          <t>гальванические покрытия</t>
        </is>
      </c>
      <c r="B183" s="26" t="n">
        <v>2</v>
      </c>
      <c r="C183" s="27" t="inlineStr">
        <is>
          <t>Средний сайт</t>
        </is>
      </c>
      <c r="D183" s="26" t="inlineStr">
        <is>
          <t>pzki54.ru</t>
        </is>
      </c>
      <c r="E183" s="26" t="inlineStr">
        <is>
          <t>https://pzki54.ru/stati/galvanicheskoe-pokrytie-metalla.php</t>
        </is>
      </c>
    </row>
    <row r="184">
      <c r="A184" s="26" t="inlineStr">
        <is>
          <t>гальванические покрытия</t>
        </is>
      </c>
      <c r="B184" s="26" t="n">
        <v>4</v>
      </c>
      <c r="C184" s="27" t="inlineStr">
        <is>
          <t>Средний сайт</t>
        </is>
      </c>
      <c r="D184" s="26" t="inlineStr">
        <is>
          <t>uralactiv.ru</t>
        </is>
      </c>
      <c r="E184" s="26" t="inlineStr">
        <is>
          <t>https://uralactiv.ru/articles/galvanicheskie-pokrytiya/</t>
        </is>
      </c>
    </row>
    <row r="185">
      <c r="A185" s="26" t="inlineStr">
        <is>
          <t>гальванические покрытия</t>
        </is>
      </c>
      <c r="B185" s="26" t="n">
        <v>5</v>
      </c>
      <c r="C185" s="29" t="inlineStr">
        <is>
          <t>Мини-сайт</t>
        </is>
      </c>
      <c r="D185" s="26" t="inlineStr">
        <is>
          <t>vector-ostrov.ru</t>
        </is>
      </c>
      <c r="E185" s="26" t="inlineStr">
        <is>
          <t>https://vector-ostrov.ru/blog/galvanicheskoe-pokrytie-metalla-chto-eto-i-kak-rabotaet/</t>
        </is>
      </c>
    </row>
    <row r="186">
      <c r="A186" s="26" t="inlineStr">
        <is>
          <t>гальванические покрытия</t>
        </is>
      </c>
      <c r="B186" s="26" t="n">
        <v>6</v>
      </c>
      <c r="C186" s="27" t="inlineStr">
        <is>
          <t>Средний сайт</t>
        </is>
      </c>
      <c r="D186" s="26" t="inlineStr">
        <is>
          <t>trusty-tools.ru</t>
        </is>
      </c>
      <c r="E186" s="26" t="inlineStr">
        <is>
          <t>https://trusty-tools.ru/articles/galvanicheskoe-pokrytie</t>
        </is>
      </c>
    </row>
    <row r="187">
      <c r="A187" s="26" t="inlineStr">
        <is>
          <t>гальванические покрытия</t>
        </is>
      </c>
      <c r="B187" s="26" t="n">
        <v>7</v>
      </c>
      <c r="C187" s="27" t="inlineStr">
        <is>
          <t>Средний сайт</t>
        </is>
      </c>
      <c r="D187" s="26" t="inlineStr">
        <is>
          <t>vils.ru</t>
        </is>
      </c>
      <c r="E187" s="26" t="inlineStr">
        <is>
          <t>https://vils.ru/articles/galvanicheskoe-pokrytie-naznachenie-vidy-nanesenie/</t>
        </is>
      </c>
    </row>
    <row r="188">
      <c r="A188" s="26" t="inlineStr">
        <is>
          <t>гальванические покрытия</t>
        </is>
      </c>
      <c r="B188" s="26" t="n">
        <v>8</v>
      </c>
      <c r="C188" s="27" t="inlineStr">
        <is>
          <t>Средний сайт</t>
        </is>
      </c>
      <c r="D188" s="26" t="inlineStr">
        <is>
          <t>media.coop-tech.ru</t>
        </is>
      </c>
      <c r="E188" s="26" t="inlineStr">
        <is>
          <t>https://media.coop-tech.ru/articles/tehnologiya/galvanicheskoe-pokrytie/</t>
        </is>
      </c>
    </row>
    <row r="189">
      <c r="A189" s="26" t="inlineStr">
        <is>
          <t>гальванические покрытия</t>
        </is>
      </c>
      <c r="B189" s="26" t="n">
        <v>9</v>
      </c>
      <c r="C189" s="29" t="inlineStr">
        <is>
          <t>Мини-сайт</t>
        </is>
      </c>
      <c r="D189" s="26" t="inlineStr">
        <is>
          <t>signal-spb.ru</t>
        </is>
      </c>
      <c r="E189" s="26" t="inlineStr">
        <is>
          <t>https://signal-spb.ru/nashi-vozmozhnosti/proizvodstvo/galvanika/</t>
        </is>
      </c>
    </row>
    <row r="190">
      <c r="A190" s="26" t="inlineStr">
        <is>
          <t>гальванические покрытия</t>
        </is>
      </c>
      <c r="B190" s="26" t="n">
        <v>10</v>
      </c>
      <c r="C190" s="29" t="inlineStr">
        <is>
          <t>Мини-сайт</t>
        </is>
      </c>
      <c r="D190" s="26" t="inlineStr">
        <is>
          <t>metiz.com.tw</t>
        </is>
      </c>
      <c r="E190" s="26" t="inlineStr">
        <is>
          <t>https://www.metiz.com.tw/plating_type.htm</t>
        </is>
      </c>
    </row>
    <row r="191">
      <c r="A191" s="26" t="inlineStr">
        <is>
          <t>круглая шлифовка</t>
        </is>
      </c>
      <c r="B191" s="26" t="n">
        <v>2</v>
      </c>
      <c r="C191" s="27" t="inlineStr">
        <is>
          <t>Средний сайт</t>
        </is>
      </c>
      <c r="D191" s="26" t="inlineStr">
        <is>
          <t>zavodkorund.ru</t>
        </is>
      </c>
      <c r="E191" s="26" t="inlineStr">
        <is>
          <t>https://www.zavodkorund.ru/Информация/Статьи</t>
        </is>
      </c>
    </row>
    <row r="192">
      <c r="A192" s="26" t="inlineStr">
        <is>
          <t>круглая шлифовка</t>
        </is>
      </c>
      <c r="B192" s="26" t="n">
        <v>4</v>
      </c>
      <c r="C192" s="27" t="inlineStr">
        <is>
          <t>Средний сайт</t>
        </is>
      </c>
      <c r="D192" s="26" t="inlineStr">
        <is>
          <t>profbau.ru</t>
        </is>
      </c>
      <c r="E192" s="26" t="inlineStr">
        <is>
          <t>https://www.profbau.ru/Услуги</t>
        </is>
      </c>
    </row>
    <row r="193">
      <c r="A193" s="26" t="inlineStr">
        <is>
          <t>круглая шлифовка</t>
        </is>
      </c>
      <c r="B193" s="26" t="n">
        <v>5</v>
      </c>
      <c r="C193" s="29" t="inlineStr">
        <is>
          <t>Мини-сайт</t>
        </is>
      </c>
      <c r="D193" s="26" t="inlineStr">
        <is>
          <t>katana-m.ru</t>
        </is>
      </c>
      <c r="E193" s="26" t="inlineStr">
        <is>
          <t>https://katana-m.ru/blog/kruglaya-shlifovka-metalla</t>
        </is>
      </c>
    </row>
    <row r="194">
      <c r="A194" s="26" t="inlineStr">
        <is>
          <t>круглая шлифовка</t>
        </is>
      </c>
      <c r="B194" s="26" t="n">
        <v>7</v>
      </c>
      <c r="C194" s="29" t="inlineStr">
        <is>
          <t>Мини-сайт</t>
        </is>
      </c>
      <c r="D194" s="26" t="inlineStr">
        <is>
          <t>polimetservice.ru</t>
        </is>
      </c>
      <c r="E194" s="26" t="inlineStr">
        <is>
          <t>https://polimetservice.ru/services/round-grinding</t>
        </is>
      </c>
    </row>
    <row r="195">
      <c r="A195" s="26" t="inlineStr">
        <is>
          <t>круглая шлифовка</t>
        </is>
      </c>
      <c r="B195" s="26" t="n">
        <v>8</v>
      </c>
      <c r="C195" s="27" t="inlineStr">
        <is>
          <t>Средний сайт</t>
        </is>
      </c>
      <c r="D195" s="26" t="inlineStr">
        <is>
          <t>cometal.ru</t>
        </is>
      </c>
      <c r="E195" s="26" t="inlineStr">
        <is>
          <t>https://cometal.ru/</t>
        </is>
      </c>
    </row>
    <row r="196">
      <c r="A196" s="26" t="inlineStr">
        <is>
          <t>круглая шлифовка</t>
        </is>
      </c>
      <c r="B196" s="26" t="n">
        <v>9</v>
      </c>
      <c r="C196" s="29" t="inlineStr">
        <is>
          <t>Мини-сайт</t>
        </is>
      </c>
      <c r="D196" s="26" t="inlineStr">
        <is>
          <t>zavkon.ru</t>
        </is>
      </c>
      <c r="E196" s="26" t="inlineStr">
        <is>
          <t>https://zavkon.ru/Шлифование</t>
        </is>
      </c>
    </row>
    <row r="197">
      <c r="A197" s="26" t="inlineStr">
        <is>
          <t>круглая шлифовка</t>
        </is>
      </c>
      <c r="B197" s="26" t="n">
        <v>10</v>
      </c>
      <c r="C197" s="29" t="inlineStr">
        <is>
          <t>Мини-сайт</t>
        </is>
      </c>
      <c r="D197" s="26" t="inlineStr">
        <is>
          <t>szdo.net</t>
        </is>
      </c>
      <c r="E197" s="26" t="inlineStr">
        <is>
          <t>https://szdo.net/services/kruglaya-i-ploskaya-shlifovka</t>
        </is>
      </c>
    </row>
    <row r="198">
      <c r="A198" s="26" t="inlineStr">
        <is>
          <t>плоская шлифовка</t>
        </is>
      </c>
      <c r="B198" s="26" t="n"/>
      <c r="C198" s="31" t="inlineStr">
        <is>
          <t>Нет данных</t>
        </is>
      </c>
      <c r="D198" s="26" t="n"/>
      <c r="E198" s="26" t="inlineStr">
        <is>
          <t>Выдачи в Ahrefs нет</t>
        </is>
      </c>
    </row>
  </sheetData>
  <autoFilter ref="A1:E1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</cols>
  <sheetData>
    <row r="1">
      <c r="A1" s="25" t="inlineStr">
        <is>
          <t>№ у клиента</t>
        </is>
      </c>
      <c r="B1" s="25" t="inlineStr">
        <is>
          <t>Запрос</t>
        </is>
      </c>
      <c r="C1" s="25" t="inlineStr">
        <is>
          <t>Объём, Ahrefs RU (Google), мес.</t>
        </is>
      </c>
    </row>
    <row r="2">
      <c r="A2" s="26" t="n">
        <v>29</v>
      </c>
      <c r="B2" s="26" t="inlineStr">
        <is>
          <t>лазерная резка металла</t>
        </is>
      </c>
      <c r="C2" s="26" t="n">
        <v>1000</v>
      </c>
    </row>
    <row r="3">
      <c r="A3" s="26" t="n">
        <v>29</v>
      </c>
      <c r="B3" s="26" t="inlineStr">
        <is>
          <t>лазерная резка</t>
        </is>
      </c>
      <c r="C3" s="26" t="n">
        <v>600</v>
      </c>
    </row>
    <row r="4">
      <c r="A4" s="26" t="n">
        <v>29</v>
      </c>
      <c r="B4" s="26" t="inlineStr">
        <is>
          <t>лазерная резка нержавейки</t>
        </is>
      </c>
      <c r="C4" s="26" t="n">
        <v>500</v>
      </c>
    </row>
    <row r="5">
      <c r="A5" s="26" t="n">
        <v>29</v>
      </c>
      <c r="B5" s="26" t="inlineStr">
        <is>
          <t>лазерная резка нержавеющей стали</t>
        </is>
      </c>
      <c r="C5" s="26" t="n">
        <v>300</v>
      </c>
    </row>
    <row r="6">
      <c r="A6" s="26" t="n">
        <v>29</v>
      </c>
      <c r="B6" s="26" t="inlineStr">
        <is>
          <t>резка нержавейки лазером</t>
        </is>
      </c>
      <c r="C6" s="26" t="n">
        <v>200</v>
      </c>
    </row>
    <row r="7">
      <c r="A7" s="26" t="n">
        <v>29</v>
      </c>
      <c r="B7" s="26" t="inlineStr">
        <is>
          <t>лазерная резка металла нижний новгород</t>
        </is>
      </c>
      <c r="C7" s="26" t="n">
        <v>50</v>
      </c>
    </row>
    <row r="8">
      <c r="A8" s="26" t="n">
        <v>29</v>
      </c>
      <c r="B8" s="26" t="inlineStr">
        <is>
          <t>лазерная резка нижний новгород</t>
        </is>
      </c>
      <c r="C8" s="26" t="n">
        <v>40</v>
      </c>
    </row>
    <row r="9">
      <c r="A9" s="26" t="n">
        <v>29</v>
      </c>
      <c r="B9" s="26" t="inlineStr">
        <is>
          <t>лазерная резка нержавейки нижний новгород</t>
        </is>
      </c>
      <c r="C9" s="26" t="n">
        <v>0</v>
      </c>
    </row>
    <row r="10">
      <c r="A10" s="26" t="n">
        <v>10</v>
      </c>
      <c r="B10" s="26" t="inlineStr">
        <is>
          <t>анодирование</t>
        </is>
      </c>
      <c r="C10" s="26" t="n">
        <v>900</v>
      </c>
    </row>
    <row r="11">
      <c r="A11" s="26" t="n">
        <v>10</v>
      </c>
      <c r="B11" s="26" t="inlineStr">
        <is>
          <t>анодирование алюминия</t>
        </is>
      </c>
      <c r="C11" s="26" t="n">
        <v>600</v>
      </c>
    </row>
    <row r="12">
      <c r="A12" s="26" t="n">
        <v>10</v>
      </c>
      <c r="B12" s="26" t="inlineStr">
        <is>
          <t>анодное оксидирование</t>
        </is>
      </c>
      <c r="C12" s="26" t="n">
        <v>80</v>
      </c>
    </row>
    <row r="13">
      <c r="A13" s="26" t="n">
        <v>10</v>
      </c>
      <c r="B13" s="26" t="inlineStr">
        <is>
          <t>анодирование алюминия цена</t>
        </is>
      </c>
      <c r="C13" s="26" t="n">
        <v>70</v>
      </c>
    </row>
    <row r="14">
      <c r="A14" s="26" t="n">
        <v>10</v>
      </c>
      <c r="B14" s="26" t="inlineStr">
        <is>
          <t>цветное анодирование алюминия</t>
        </is>
      </c>
      <c r="C14" s="26" t="n">
        <v>30</v>
      </c>
    </row>
    <row r="15">
      <c r="A15" s="26" t="n">
        <v>10</v>
      </c>
      <c r="B15" s="26" t="inlineStr">
        <is>
          <t>анодирование нижний новгород</t>
        </is>
      </c>
      <c r="C15" s="26" t="n">
        <v>0</v>
      </c>
    </row>
    <row r="16">
      <c r="A16" s="26" t="n">
        <v>1</v>
      </c>
      <c r="B16" s="26" t="inlineStr">
        <is>
          <t>цинкование</t>
        </is>
      </c>
      <c r="C16" s="26" t="n">
        <v>400</v>
      </c>
    </row>
    <row r="17">
      <c r="A17" s="26" t="n">
        <v>1</v>
      </c>
      <c r="B17" s="26" t="inlineStr">
        <is>
          <t>цинкование металла</t>
        </is>
      </c>
      <c r="C17" s="26" t="n">
        <v>300</v>
      </c>
    </row>
    <row r="18">
      <c r="A18" s="26" t="n">
        <v>1</v>
      </c>
      <c r="B18" s="26" t="inlineStr">
        <is>
          <t>гальваническое цинкование</t>
        </is>
      </c>
      <c r="C18" s="26" t="n">
        <v>150</v>
      </c>
    </row>
    <row r="19">
      <c r="A19" s="26" t="n">
        <v>1</v>
      </c>
      <c r="B19" s="26" t="inlineStr">
        <is>
          <t>цинкование деталей</t>
        </is>
      </c>
      <c r="C19" s="26" t="n">
        <v>50</v>
      </c>
    </row>
    <row r="20">
      <c r="A20" s="26" t="n">
        <v>1</v>
      </c>
      <c r="B20" s="26" t="inlineStr">
        <is>
          <t>черное цинкование</t>
        </is>
      </c>
      <c r="C20" s="26" t="n">
        <v>30</v>
      </c>
    </row>
    <row r="21">
      <c r="A21" s="26" t="n">
        <v>1</v>
      </c>
      <c r="B21" s="26" t="inlineStr">
        <is>
          <t>цинкование с хроматированием</t>
        </is>
      </c>
      <c r="C21" s="26" t="n">
        <v>20</v>
      </c>
    </row>
    <row r="22">
      <c r="A22" s="26" t="n">
        <v>1</v>
      </c>
      <c r="B22" s="26" t="inlineStr">
        <is>
          <t>оцинковка деталей</t>
        </is>
      </c>
      <c r="C22" s="26" t="n">
        <v>20</v>
      </c>
    </row>
    <row r="23">
      <c r="A23" s="26" t="n">
        <v>1</v>
      </c>
      <c r="B23" s="26" t="inlineStr">
        <is>
          <t>цинкование цена</t>
        </is>
      </c>
      <c r="C23" s="26" t="n">
        <v>20</v>
      </c>
    </row>
    <row r="24">
      <c r="A24" s="26" t="n">
        <v>1</v>
      </c>
      <c r="B24" s="26" t="inlineStr">
        <is>
          <t>желтое цинкование</t>
        </is>
      </c>
      <c r="C24" s="26" t="n">
        <v>10</v>
      </c>
    </row>
    <row r="25">
      <c r="A25" s="26" t="n">
        <v>1</v>
      </c>
      <c r="B25" s="26" t="inlineStr">
        <is>
          <t>цинкование крепежа</t>
        </is>
      </c>
      <c r="C25" s="26" t="n">
        <v>10</v>
      </c>
    </row>
    <row r="26">
      <c r="A26" s="26" t="n">
        <v>1</v>
      </c>
      <c r="B26" s="26" t="inlineStr">
        <is>
          <t>цинкование нижний новгород</t>
        </is>
      </c>
      <c r="C26" s="26" t="n">
        <v>0</v>
      </c>
    </row>
    <row r="27">
      <c r="A27" s="26" t="n">
        <v>25</v>
      </c>
      <c r="B27" s="26" t="inlineStr">
        <is>
          <t>пассивация</t>
        </is>
      </c>
      <c r="C27" s="26" t="n">
        <v>300</v>
      </c>
    </row>
    <row r="28">
      <c r="A28" s="26" t="n">
        <v>25</v>
      </c>
      <c r="B28" s="26" t="inlineStr">
        <is>
          <t>пассивация металла</t>
        </is>
      </c>
      <c r="C28" s="26" t="n">
        <v>150</v>
      </c>
    </row>
    <row r="29">
      <c r="A29" s="26" t="n">
        <v>25</v>
      </c>
      <c r="B29" s="26" t="inlineStr">
        <is>
          <t>пассивация нержавейки</t>
        </is>
      </c>
      <c r="C29" s="26" t="n">
        <v>150</v>
      </c>
    </row>
    <row r="30">
      <c r="A30" s="26" t="n">
        <v>25</v>
      </c>
      <c r="B30" s="26" t="inlineStr">
        <is>
          <t>пассивация нержавеющей стали</t>
        </is>
      </c>
      <c r="C30" s="26" t="n">
        <v>80</v>
      </c>
    </row>
    <row r="31">
      <c r="A31" s="26" t="n">
        <v>8</v>
      </c>
      <c r="B31" s="26" t="inlineStr">
        <is>
          <t>травление металла</t>
        </is>
      </c>
      <c r="C31" s="26" t="n">
        <v>150</v>
      </c>
    </row>
    <row r="32">
      <c r="A32" s="26" t="n">
        <v>8</v>
      </c>
      <c r="B32" s="26" t="inlineStr">
        <is>
          <t>травление нержавеющей стали</t>
        </is>
      </c>
      <c r="C32" s="26" t="n">
        <v>40</v>
      </c>
    </row>
    <row r="33">
      <c r="A33" s="26" t="n">
        <v>8</v>
      </c>
      <c r="B33" s="26" t="inlineStr">
        <is>
          <t>травление нержавейки</t>
        </is>
      </c>
      <c r="C33" s="26" t="n">
        <v>30</v>
      </c>
    </row>
    <row r="34">
      <c r="A34" s="26" t="n">
        <v>8</v>
      </c>
      <c r="B34" s="26" t="inlineStr">
        <is>
          <t>травление сварных швов</t>
        </is>
      </c>
      <c r="C34" s="26" t="n">
        <v>0</v>
      </c>
    </row>
    <row r="35">
      <c r="A35" s="26" t="n">
        <v>8</v>
      </c>
      <c r="B35" s="26" t="inlineStr">
        <is>
          <t>травление и пассивация</t>
        </is>
      </c>
      <c r="C35" s="26" t="n">
        <v>0</v>
      </c>
    </row>
    <row r="36">
      <c r="A36" s="26" t="n">
        <v>30</v>
      </c>
      <c r="B36" s="26" t="inlineStr">
        <is>
          <t>гидроабразивная резка</t>
        </is>
      </c>
      <c r="C36" s="26" t="n">
        <v>350</v>
      </c>
    </row>
    <row r="37">
      <c r="A37" s="26" t="n">
        <v>30</v>
      </c>
      <c r="B37" s="26" t="inlineStr">
        <is>
          <t>гидроабразивная резка металла</t>
        </is>
      </c>
      <c r="C37" s="26" t="n">
        <v>300</v>
      </c>
    </row>
    <row r="38">
      <c r="A38" s="26" t="n">
        <v>30</v>
      </c>
      <c r="B38" s="26" t="inlineStr">
        <is>
          <t>гидрорезка</t>
        </is>
      </c>
      <c r="C38" s="26" t="n">
        <v>200</v>
      </c>
    </row>
    <row r="39">
      <c r="A39" s="26" t="n">
        <v>30</v>
      </c>
      <c r="B39" s="26" t="inlineStr">
        <is>
          <t>гидроабразивная резка нижний новгород</t>
        </is>
      </c>
      <c r="C39" s="26" t="n">
        <v>20</v>
      </c>
    </row>
    <row r="40">
      <c r="A40" s="26" t="inlineStr">
        <is>
          <t>Хаб</t>
        </is>
      </c>
      <c r="B40" s="26" t="inlineStr">
        <is>
          <t>гальванические покрытия</t>
        </is>
      </c>
      <c r="C40" s="26" t="n">
        <v>150</v>
      </c>
    </row>
    <row r="41">
      <c r="A41" s="26" t="inlineStr">
        <is>
          <t>Хаб</t>
        </is>
      </c>
      <c r="B41" s="26" t="inlineStr">
        <is>
          <t>гальваническое покрытие металла</t>
        </is>
      </c>
      <c r="C41" s="26" t="n">
        <v>90</v>
      </c>
    </row>
    <row r="42">
      <c r="A42" s="26" t="inlineStr">
        <is>
          <t>Хаб</t>
        </is>
      </c>
      <c r="B42" s="26" t="inlineStr">
        <is>
          <t>нанесение гальванических покрытий</t>
        </is>
      </c>
      <c r="C42" s="26" t="n">
        <v>80</v>
      </c>
    </row>
    <row r="43">
      <c r="A43" s="26" t="inlineStr">
        <is>
          <t>Хаб</t>
        </is>
      </c>
      <c r="B43" s="26" t="inlineStr">
        <is>
          <t>услуги гальваники</t>
        </is>
      </c>
      <c r="C43" s="26" t="n">
        <v>40</v>
      </c>
    </row>
    <row r="44">
      <c r="A44" s="26" t="inlineStr">
        <is>
          <t>Хаб</t>
        </is>
      </c>
      <c r="B44" s="26" t="inlineStr">
        <is>
          <t>гальваника на заказ</t>
        </is>
      </c>
      <c r="C44" s="26" t="n">
        <v>20</v>
      </c>
    </row>
    <row r="45">
      <c r="A45" s="26" t="inlineStr">
        <is>
          <t>Хаб</t>
        </is>
      </c>
      <c r="B45" s="26" t="inlineStr">
        <is>
          <t>гальваника нижний новгород</t>
        </is>
      </c>
      <c r="C45" s="26" t="n">
        <v>0</v>
      </c>
    </row>
    <row r="46">
      <c r="A46" s="26" t="inlineStr">
        <is>
          <t>Хаб (общий запрос, не в сумме)</t>
        </is>
      </c>
      <c r="B46" s="26" t="inlineStr">
        <is>
          <t>гальваника</t>
        </is>
      </c>
      <c r="C46" s="26" t="n">
        <v>2500</v>
      </c>
    </row>
    <row r="47">
      <c r="A47" s="26" t="n">
        <v>18</v>
      </c>
      <c r="B47" s="26" t="inlineStr">
        <is>
          <t>хромирование</t>
        </is>
      </c>
      <c r="C47" s="26" t="n">
        <v>250</v>
      </c>
    </row>
    <row r="48">
      <c r="A48" s="26" t="n">
        <v>18</v>
      </c>
      <c r="B48" s="26" t="inlineStr">
        <is>
          <t>хромирование деталей</t>
        </is>
      </c>
      <c r="C48" s="26" t="n">
        <v>250</v>
      </c>
    </row>
    <row r="49">
      <c r="A49" s="26" t="n">
        <v>18</v>
      </c>
      <c r="B49" s="26" t="inlineStr">
        <is>
          <t>гальваническое хромирование</t>
        </is>
      </c>
      <c r="C49" s="26" t="n">
        <v>80</v>
      </c>
    </row>
    <row r="50">
      <c r="A50" s="26" t="n">
        <v>18</v>
      </c>
      <c r="B50" s="26" t="inlineStr">
        <is>
          <t>твердое хромирование</t>
        </is>
      </c>
      <c r="C50" s="26" t="n">
        <v>20</v>
      </c>
    </row>
    <row r="51">
      <c r="A51" s="26" t="n">
        <v>18</v>
      </c>
      <c r="B51" s="26" t="inlineStr">
        <is>
          <t>хромирование штоков</t>
        </is>
      </c>
      <c r="C51" s="26" t="n">
        <v>0</v>
      </c>
    </row>
    <row r="52">
      <c r="A52" s="26" t="n">
        <v>18</v>
      </c>
      <c r="B52" s="26" t="inlineStr">
        <is>
          <t>хромирование нижний новгород</t>
        </is>
      </c>
      <c r="C52" s="26" t="n">
        <v>0</v>
      </c>
    </row>
    <row r="53">
      <c r="A53" s="26" t="n">
        <v>4</v>
      </c>
      <c r="B53" s="26" t="inlineStr">
        <is>
          <t>никелирование</t>
        </is>
      </c>
      <c r="C53" s="26" t="n">
        <v>350</v>
      </c>
    </row>
    <row r="54">
      <c r="A54" s="26" t="n">
        <v>4</v>
      </c>
      <c r="B54" s="26" t="inlineStr">
        <is>
          <t>гальваническое никелирование</t>
        </is>
      </c>
      <c r="C54" s="26" t="n">
        <v>60</v>
      </c>
    </row>
    <row r="55">
      <c r="A55" s="26" t="n">
        <v>4</v>
      </c>
      <c r="B55" s="26" t="inlineStr">
        <is>
          <t>никелирование металла</t>
        </is>
      </c>
      <c r="C55" s="26" t="n">
        <v>50</v>
      </c>
    </row>
    <row r="56">
      <c r="A56" s="26" t="n">
        <v>4</v>
      </c>
      <c r="B56" s="26" t="inlineStr">
        <is>
          <t>никелирование деталей</t>
        </is>
      </c>
      <c r="C56" s="26" t="n">
        <v>50</v>
      </c>
    </row>
    <row r="57">
      <c r="A57" s="26" t="n">
        <v>4</v>
      </c>
      <c r="B57" s="26" t="inlineStr">
        <is>
          <t>блестящее никелирование</t>
        </is>
      </c>
      <c r="C57" s="26" t="n">
        <v>0</v>
      </c>
    </row>
    <row r="58">
      <c r="A58" s="26" t="n">
        <v>6</v>
      </c>
      <c r="B58" s="26" t="inlineStr">
        <is>
          <t>электрополировка</t>
        </is>
      </c>
      <c r="C58" s="26" t="n">
        <v>90</v>
      </c>
    </row>
    <row r="59">
      <c r="A59" s="26" t="n">
        <v>6</v>
      </c>
      <c r="B59" s="26" t="inlineStr">
        <is>
          <t>электрохимическая полировка</t>
        </is>
      </c>
      <c r="C59" s="26" t="n">
        <v>80</v>
      </c>
    </row>
    <row r="60">
      <c r="A60" s="26" t="n">
        <v>6</v>
      </c>
      <c r="B60" s="26" t="inlineStr">
        <is>
          <t>электрохимическая полировка нержавейки</t>
        </is>
      </c>
      <c r="C60" s="26" t="n">
        <v>30</v>
      </c>
    </row>
    <row r="61">
      <c r="A61" s="26" t="n">
        <v>6</v>
      </c>
      <c r="B61" s="26" t="inlineStr">
        <is>
          <t>электрополировка нержавеющей стали</t>
        </is>
      </c>
      <c r="C61" s="26" t="n">
        <v>30</v>
      </c>
    </row>
    <row r="62">
      <c r="A62" s="26" t="n">
        <v>6</v>
      </c>
      <c r="B62" s="26" t="inlineStr">
        <is>
          <t>электрополировка нержавейки</t>
        </is>
      </c>
      <c r="C62" s="26" t="n">
        <v>10</v>
      </c>
    </row>
    <row r="63">
      <c r="A63" s="26" t="n">
        <v>9</v>
      </c>
      <c r="B63" s="26" t="inlineStr">
        <is>
          <t>воронение металла</t>
        </is>
      </c>
      <c r="C63" s="26" t="n">
        <v>350</v>
      </c>
    </row>
    <row r="64">
      <c r="A64" s="26" t="n">
        <v>9</v>
      </c>
      <c r="B64" s="26" t="inlineStr">
        <is>
          <t>оксидирование</t>
        </is>
      </c>
      <c r="C64" s="26" t="n">
        <v>250</v>
      </c>
    </row>
    <row r="65">
      <c r="A65" s="26" t="n">
        <v>9</v>
      </c>
      <c r="B65" s="26" t="inlineStr">
        <is>
          <t>оксидирование стали</t>
        </is>
      </c>
      <c r="C65" s="26" t="n">
        <v>150</v>
      </c>
    </row>
    <row r="66">
      <c r="A66" s="26" t="n">
        <v>9</v>
      </c>
      <c r="B66" s="26" t="inlineStr">
        <is>
          <t>химическое оксидирование</t>
        </is>
      </c>
      <c r="C66" s="26" t="n">
        <v>100</v>
      </c>
    </row>
    <row r="67">
      <c r="A67" s="26" t="n">
        <v>9</v>
      </c>
      <c r="B67" s="26" t="inlineStr">
        <is>
          <t>химическое оксидирование стали</t>
        </is>
      </c>
      <c r="C67" s="26" t="n">
        <v>50</v>
      </c>
    </row>
    <row r="68">
      <c r="A68" s="26" t="n">
        <v>23</v>
      </c>
      <c r="B68" s="26" t="inlineStr">
        <is>
          <t>фосфатирование</t>
        </is>
      </c>
      <c r="C68" s="26" t="n">
        <v>300</v>
      </c>
    </row>
    <row r="69">
      <c r="A69" s="26" t="n">
        <v>23</v>
      </c>
      <c r="B69" s="26" t="inlineStr">
        <is>
          <t>фосфатирование металла</t>
        </is>
      </c>
      <c r="C69" s="26" t="n">
        <v>150</v>
      </c>
    </row>
    <row r="70">
      <c r="A70" s="26" t="n">
        <v>23</v>
      </c>
      <c r="B70" s="26" t="inlineStr">
        <is>
          <t>химическое фосфатирование</t>
        </is>
      </c>
      <c r="C70" s="26" t="n">
        <v>40</v>
      </c>
    </row>
    <row r="71">
      <c r="A71" s="26" t="n">
        <v>12</v>
      </c>
      <c r="B71" s="26" t="inlineStr">
        <is>
          <t>анодирование титана</t>
        </is>
      </c>
      <c r="C71" s="26" t="n">
        <v>400</v>
      </c>
    </row>
    <row r="72">
      <c r="A72" s="26" t="n">
        <v>19</v>
      </c>
      <c r="B72" s="26" t="inlineStr">
        <is>
          <t>серебрение</t>
        </is>
      </c>
      <c r="C72" s="26" t="n">
        <v>150</v>
      </c>
    </row>
    <row r="73">
      <c r="A73" s="26" t="n">
        <v>19</v>
      </c>
      <c r="B73" s="26" t="inlineStr">
        <is>
          <t>гальваническое серебрение</t>
        </is>
      </c>
      <c r="C73" s="26" t="n">
        <v>150</v>
      </c>
    </row>
    <row r="74">
      <c r="A74" s="26" t="n">
        <v>19</v>
      </c>
      <c r="B74" s="26" t="inlineStr">
        <is>
          <t>серебрение металла</t>
        </is>
      </c>
      <c r="C74" s="26" t="n">
        <v>50</v>
      </c>
    </row>
    <row r="75">
      <c r="A75" s="26" t="n">
        <v>27</v>
      </c>
      <c r="B75" s="26" t="inlineStr">
        <is>
          <t>шлифовка металла</t>
        </is>
      </c>
      <c r="C75" s="26" t="n">
        <v>250</v>
      </c>
    </row>
    <row r="76">
      <c r="A76" s="26" t="n">
        <v>27</v>
      </c>
      <c r="B76" s="26" t="inlineStr">
        <is>
          <t>плоская шлифовка</t>
        </is>
      </c>
      <c r="C76" s="26" t="n">
        <v>30</v>
      </c>
    </row>
    <row r="77">
      <c r="A77" s="26" t="n">
        <v>27</v>
      </c>
      <c r="B77" s="26" t="inlineStr">
        <is>
          <t>плоское шлифование</t>
        </is>
      </c>
      <c r="C77" s="26" t="n">
        <v>20</v>
      </c>
    </row>
    <row r="78">
      <c r="A78" s="26" t="n">
        <v>27</v>
      </c>
      <c r="B78" s="26" t="inlineStr">
        <is>
          <t>шлифовка металла на заказ</t>
        </is>
      </c>
      <c r="C78" s="26" t="n">
        <v>0</v>
      </c>
    </row>
    <row r="79">
      <c r="A79" s="26" t="n">
        <v>16</v>
      </c>
      <c r="B79" s="26" t="inlineStr">
        <is>
          <t>лужение</t>
        </is>
      </c>
      <c r="C79" s="26" t="n">
        <v>200</v>
      </c>
    </row>
    <row r="80">
      <c r="A80" s="26" t="n">
        <v>16</v>
      </c>
      <c r="B80" s="26" t="inlineStr">
        <is>
          <t>оловянирование</t>
        </is>
      </c>
      <c r="C80" s="26" t="n">
        <v>40</v>
      </c>
    </row>
    <row r="81">
      <c r="A81" s="26" t="n">
        <v>16</v>
      </c>
      <c r="B81" s="26" t="inlineStr">
        <is>
          <t>лужение меди</t>
        </is>
      </c>
      <c r="C81" s="26" t="n">
        <v>40</v>
      </c>
    </row>
    <row r="82">
      <c r="A82" s="26" t="n">
        <v>16</v>
      </c>
      <c r="B82" s="26" t="inlineStr">
        <is>
          <t>гальваническое лужение</t>
        </is>
      </c>
      <c r="C82" s="26" t="n">
        <v>10</v>
      </c>
    </row>
    <row r="83">
      <c r="A83" s="26" t="n">
        <v>3</v>
      </c>
      <c r="B83" s="26" t="inlineStr">
        <is>
          <t>меднение</t>
        </is>
      </c>
      <c r="C83" s="26" t="n">
        <v>100</v>
      </c>
    </row>
    <row r="84">
      <c r="A84" s="26" t="n">
        <v>3</v>
      </c>
      <c r="B84" s="26" t="inlineStr">
        <is>
          <t>меднение металла</t>
        </is>
      </c>
      <c r="C84" s="26" t="n">
        <v>70</v>
      </c>
    </row>
    <row r="85">
      <c r="A85" s="26" t="n">
        <v>3</v>
      </c>
      <c r="B85" s="26" t="inlineStr">
        <is>
          <t>гальваническое меднение</t>
        </is>
      </c>
      <c r="C85" s="26" t="n">
        <v>60</v>
      </c>
    </row>
    <row r="86">
      <c r="A86" s="26" t="n">
        <v>3</v>
      </c>
      <c r="B86" s="26" t="inlineStr">
        <is>
          <t>меднение алюминия</t>
        </is>
      </c>
      <c r="C86" s="26" t="n">
        <v>40</v>
      </c>
    </row>
    <row r="87">
      <c r="A87" s="26" t="n">
        <v>20</v>
      </c>
      <c r="B87" s="26" t="inlineStr">
        <is>
          <t>гальваническое золочение</t>
        </is>
      </c>
      <c r="C87" s="26" t="n">
        <v>150</v>
      </c>
    </row>
    <row r="88">
      <c r="A88" s="26" t="n">
        <v>20</v>
      </c>
      <c r="B88" s="26" t="inlineStr">
        <is>
          <t>золочение</t>
        </is>
      </c>
      <c r="C88" s="26" t="n">
        <v>100</v>
      </c>
    </row>
    <row r="89">
      <c r="A89" s="26" t="n">
        <v>2</v>
      </c>
      <c r="B89" s="26" t="inlineStr">
        <is>
          <t>кадмирование</t>
        </is>
      </c>
      <c r="C89" s="26" t="n">
        <v>200</v>
      </c>
    </row>
    <row r="90">
      <c r="A90" s="26" t="n">
        <v>2</v>
      </c>
      <c r="B90" s="26" t="inlineStr">
        <is>
          <t>кадмирование деталей</t>
        </is>
      </c>
      <c r="C90" s="26" t="n">
        <v>30</v>
      </c>
    </row>
    <row r="91">
      <c r="A91" s="26" t="n">
        <v>15</v>
      </c>
      <c r="B91" s="26" t="inlineStr">
        <is>
          <t>хроматирование</t>
        </is>
      </c>
      <c r="C91" s="26" t="n">
        <v>80</v>
      </c>
    </row>
    <row r="92">
      <c r="A92" s="26" t="n">
        <v>15</v>
      </c>
      <c r="B92" s="26" t="inlineStr">
        <is>
          <t>химическое оксидирование алюминия</t>
        </is>
      </c>
      <c r="C92" s="26" t="n">
        <v>40</v>
      </c>
    </row>
    <row r="93">
      <c r="A93" s="26" t="n">
        <v>15</v>
      </c>
      <c r="B93" s="26" t="inlineStr">
        <is>
          <t>хроматирование алюминия</t>
        </is>
      </c>
      <c r="C93" s="26" t="n">
        <v>10</v>
      </c>
    </row>
    <row r="94">
      <c r="A94" s="26" t="n">
        <v>28</v>
      </c>
      <c r="B94" s="26" t="inlineStr">
        <is>
          <t>круглая шлифовка</t>
        </is>
      </c>
      <c r="C94" s="26" t="n">
        <v>60</v>
      </c>
    </row>
    <row r="95">
      <c r="A95" s="26" t="n">
        <v>28</v>
      </c>
      <c r="B95" s="26" t="inlineStr">
        <is>
          <t>круглое шлифование</t>
        </is>
      </c>
      <c r="C95" s="26" t="n">
        <v>40</v>
      </c>
    </row>
    <row r="96">
      <c r="A96" s="26" t="n">
        <v>28</v>
      </c>
      <c r="B96" s="26" t="inlineStr">
        <is>
          <t>круглошлифовальные работы</t>
        </is>
      </c>
      <c r="C96" s="26" t="n">
        <v>20</v>
      </c>
    </row>
    <row r="97">
      <c r="A97" s="26" t="n">
        <v>5</v>
      </c>
      <c r="B97" s="26" t="inlineStr">
        <is>
          <t>химическое никелирование</t>
        </is>
      </c>
      <c r="C97" s="26" t="n">
        <v>100</v>
      </c>
    </row>
    <row r="98">
      <c r="A98" s="26" t="n">
        <v>17</v>
      </c>
      <c r="B98" s="26" t="inlineStr">
        <is>
          <t>покрытие олово-висмут</t>
        </is>
      </c>
      <c r="C98" s="26" t="n">
        <v>40</v>
      </c>
    </row>
    <row r="99">
      <c r="A99" s="26" t="n">
        <v>17</v>
      </c>
      <c r="B99" s="26" t="inlineStr">
        <is>
          <t>олово висмут покрытие</t>
        </is>
      </c>
      <c r="C99" s="26" t="n">
        <v>40</v>
      </c>
    </row>
    <row r="100">
      <c r="A100" s="26" t="n">
        <v>11</v>
      </c>
      <c r="B100" s="26" t="inlineStr">
        <is>
          <t>твердое анодирование алюминия</t>
        </is>
      </c>
      <c r="C100" s="26" t="n">
        <v>40</v>
      </c>
    </row>
    <row r="101">
      <c r="A101" s="26" t="n">
        <v>11</v>
      </c>
      <c r="B101" s="26" t="inlineStr">
        <is>
          <t>твердое анодирование</t>
        </is>
      </c>
      <c r="C101" s="26" t="n">
        <v>20</v>
      </c>
    </row>
    <row r="102">
      <c r="A102" s="26" t="n">
        <v>13</v>
      </c>
      <c r="B102" s="26" t="inlineStr">
        <is>
          <t>эматалирование</t>
        </is>
      </c>
      <c r="C102" s="26" t="n">
        <v>10</v>
      </c>
    </row>
    <row r="103">
      <c r="A103" s="26" t="n">
        <v>7</v>
      </c>
      <c r="B103" s="26" t="inlineStr">
        <is>
          <t>электроплазменная полировка</t>
        </is>
      </c>
      <c r="C103" s="26" t="n">
        <v>0</v>
      </c>
    </row>
    <row r="104">
      <c r="A104" s="26" t="n">
        <v>7</v>
      </c>
      <c r="B104" s="26" t="inlineStr">
        <is>
          <t>плазменная полировка</t>
        </is>
      </c>
      <c r="C104" s="26" t="n">
        <v>0</v>
      </c>
    </row>
    <row r="105">
      <c r="A105" s="26" t="n">
        <v>22</v>
      </c>
      <c r="B105" s="26" t="inlineStr">
        <is>
          <t>кадмирование с фосфатированием</t>
        </is>
      </c>
      <c r="C105" s="26" t="n">
        <v>0</v>
      </c>
    </row>
    <row r="106">
      <c r="A106" s="26" t="n">
        <v>26</v>
      </c>
      <c r="B106" s="26" t="inlineStr">
        <is>
          <t>свинцевание</t>
        </is>
      </c>
      <c r="C106" s="26" t="n">
        <v>0</v>
      </c>
    </row>
    <row r="107">
      <c r="A107" s="26" t="inlineStr">
        <is>
          <t>Уже есть: /uslugi/shlifovanie/</t>
        </is>
      </c>
      <c r="B107" s="26" t="inlineStr">
        <is>
          <t>шлифовка нержавейки</t>
        </is>
      </c>
      <c r="C107" s="26" t="n">
        <v>70</v>
      </c>
    </row>
    <row r="108">
      <c r="A108" s="26" t="inlineStr">
        <is>
          <t>Уже есть: /uslugi/polirovka/</t>
        </is>
      </c>
      <c r="B108" s="26" t="inlineStr">
        <is>
          <t>полировка металла</t>
        </is>
      </c>
      <c r="C108" s="26" t="n">
        <v>100</v>
      </c>
    </row>
    <row r="109">
      <c r="A109" s="26" t="inlineStr">
        <is>
          <t>Уже есть: /uslugi/polirovka/</t>
        </is>
      </c>
      <c r="B109" s="26" t="inlineStr">
        <is>
          <t>полировка нержавейки</t>
        </is>
      </c>
      <c r="C109" s="26" t="n">
        <v>70</v>
      </c>
    </row>
  </sheetData>
  <autoFilter ref="A1:C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2026-09-15T16:41:35Z</dcterms:created>
  <dcterms:modified xmlns:dcterms="http://purl.org/dc/terms/" xmlns:xsi="http://www.w3.org/2001/XMLSchema-instance" xsi:type="dcterms:W3CDTF">2026-09-15T16:41:35Z</dcterms:modified>
</cp:coreProperties>
</file>
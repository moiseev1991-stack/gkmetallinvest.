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Направления" sheetId="1" state="visible" r:id="rId1"/>
    <sheet xmlns:r="http://schemas.openxmlformats.org/officeDocument/2006/relationships" name="Выдача" sheetId="2" state="visible" r:id="rId2"/>
    <sheet xmlns:r="http://schemas.openxmlformats.org/officeDocument/2006/relationships" name="Запросы" sheetId="3" state="visible" r:id="rId3"/>
  </sheets>
  <definedNames>
    <definedName name="_xlnm._FilterDatabase" localSheetId="0" hidden="1">'Направления'!$A$1:$O$32</definedName>
    <definedName name="_xlnm._FilterDatabase" localSheetId="1" hidden="1">'Выдача'!$A$1:$H$200</definedName>
    <definedName name="_xlnm._FilterDatabase" localSheetId="2" hidden="1">'Запросы'!$A$1:$E$109</definedName>
  </definedNames>
  <calcPr calcId="124519" fullCalcOnLoad="1"/>
</workbook>
</file>

<file path=xl/styles.xml><?xml version="1.0" encoding="utf-8"?>
<styleSheet xmlns="http://schemas.openxmlformats.org/spreadsheetml/2006/main">
  <numFmts count="1">
    <numFmt numFmtId="164" formatCode="#,##0;-#,##0;&quot;—&quot;"/>
  </numFmts>
  <fonts count="5">
    <font>
      <name val="Calibri"/>
      <family val="2"/>
      <color theme="1"/>
      <sz val="11"/>
      <scheme val="minor"/>
    </font>
    <font>
      <name val="Arial"/>
      <b val="1"/>
      <color rgb="00FFFFFF"/>
      <sz val="10"/>
    </font>
    <font>
      <name val="Arial"/>
      <sz val="10"/>
    </font>
    <font>
      <name val="Arial"/>
      <b val="1"/>
      <sz val="10"/>
    </font>
    <font>
      <name val="Arial"/>
      <i val="1"/>
      <color rgb="00595959"/>
      <sz val="9"/>
    </font>
  </fonts>
  <fills count="14">
    <fill>
      <patternFill/>
    </fill>
    <fill>
      <patternFill patternType="gray125"/>
    </fill>
    <fill>
      <patternFill patternType="solid">
        <fgColor rgb="00163B66"/>
      </patternFill>
    </fill>
    <fill>
      <patternFill patternType="solid">
        <fgColor rgb="00C6EFCE"/>
      </patternFill>
    </fill>
    <fill>
      <patternFill patternType="solid">
        <fgColor rgb="00FFEB9C"/>
      </patternFill>
    </fill>
    <fill>
      <patternFill patternType="solid">
        <fgColor rgb="00DDEBF7"/>
      </patternFill>
    </fill>
    <fill>
      <patternFill patternType="solid">
        <fgColor rgb="00FFC7CE"/>
      </patternFill>
    </fill>
    <fill>
      <patternFill patternType="solid">
        <fgColor rgb="00E4DFEC"/>
      </patternFill>
    </fill>
    <fill>
      <patternFill patternType="solid">
        <fgColor rgb="00EDEDED"/>
      </patternFill>
    </fill>
    <fill>
      <patternFill patternType="solid">
        <fgColor rgb="00F2F2F2"/>
      </patternFill>
    </fill>
    <fill>
      <patternFill patternType="solid">
        <fgColor rgb="00FCE4D6"/>
      </patternFill>
    </fill>
    <fill>
      <patternFill patternType="solid">
        <fgColor rgb="00FFF2CC"/>
      </patternFill>
    </fill>
    <fill>
      <patternFill patternType="solid">
        <fgColor rgb="00E2EFDA"/>
      </patternFill>
    </fill>
    <fill>
      <patternFill patternType="solid">
        <fgColor rgb="00FFFFFF"/>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wrapText="1"/>
    </xf>
    <xf numFmtId="0" fontId="3" fillId="3" borderId="1" applyAlignment="1" pivotButton="0" quotePrefix="0" xfId="0">
      <alignment horizontal="center" vertical="top"/>
    </xf>
    <xf numFmtId="0" fontId="2" fillId="0" borderId="1" applyAlignment="1" pivotButton="0" quotePrefix="0" xfId="0">
      <alignment horizontal="center" vertical="top"/>
    </xf>
    <xf numFmtId="0" fontId="2" fillId="0" borderId="1" applyAlignment="1" pivotButton="0" quotePrefix="0" xfId="0">
      <alignment vertical="top" wrapText="1"/>
    </xf>
    <xf numFmtId="0" fontId="2" fillId="4" borderId="1" applyAlignment="1" pivotButton="0" quotePrefix="0" xfId="0">
      <alignment horizontal="center" vertical="top"/>
    </xf>
    <xf numFmtId="164" fontId="3" fillId="0" borderId="1" applyAlignment="1" pivotButton="0" quotePrefix="0" xfId="0">
      <alignment horizontal="right" vertical="top"/>
    </xf>
    <xf numFmtId="0" fontId="3" fillId="5" borderId="1" applyAlignment="1" pivotButton="0" quotePrefix="0" xfId="0">
      <alignment vertical="top" wrapText="1"/>
    </xf>
    <xf numFmtId="0" fontId="2" fillId="6" borderId="1" applyAlignment="1" pivotButton="0" quotePrefix="0" xfId="0">
      <alignment horizontal="center" vertical="top"/>
    </xf>
    <xf numFmtId="0" fontId="3" fillId="7" borderId="1" applyAlignment="1" pivotButton="0" quotePrefix="0" xfId="0">
      <alignment vertical="top" wrapText="1"/>
    </xf>
    <xf numFmtId="0" fontId="3" fillId="4" borderId="1" applyAlignment="1" pivotButton="0" quotePrefix="0" xfId="0">
      <alignment horizontal="center" vertical="top"/>
    </xf>
    <xf numFmtId="0" fontId="3" fillId="4" borderId="1" applyAlignment="1" pivotButton="0" quotePrefix="0" xfId="0">
      <alignment vertical="top" wrapText="1"/>
    </xf>
    <xf numFmtId="0" fontId="3" fillId="8" borderId="1" applyAlignment="1" pivotButton="0" quotePrefix="0" xfId="0">
      <alignment horizontal="center" vertical="top"/>
    </xf>
    <xf numFmtId="0" fontId="3" fillId="9" borderId="1" applyAlignment="1" pivotButton="0" quotePrefix="0" xfId="0">
      <alignment vertical="top" wrapText="1"/>
    </xf>
    <xf numFmtId="0" fontId="3" fillId="0" borderId="0" pivotButton="0" quotePrefix="0" xfId="0"/>
    <xf numFmtId="0" fontId="3" fillId="0" borderId="0" applyAlignment="1" pivotButton="0" quotePrefix="0" xfId="0">
      <alignment horizontal="left"/>
    </xf>
    <xf numFmtId="0" fontId="4" fillId="0" borderId="0" pivotButton="0" quotePrefix="0" xfId="0"/>
    <xf numFmtId="0" fontId="2" fillId="0" borderId="1" applyAlignment="1" pivotButton="0" quotePrefix="0" xfId="0">
      <alignment horizontal="right" vertical="top"/>
    </xf>
    <xf numFmtId="0" fontId="2" fillId="0" borderId="1" applyAlignment="1" pivotButton="0" quotePrefix="0" xfId="0">
      <alignment vertical="top"/>
    </xf>
    <xf numFmtId="3" fontId="2" fillId="0" borderId="1" applyAlignment="1" pivotButton="0" quotePrefix="0" xfId="0">
      <alignment horizontal="right" vertical="top"/>
    </xf>
    <xf numFmtId="0" fontId="2" fillId="10" borderId="1" applyAlignment="1" pivotButton="0" quotePrefix="0" xfId="0">
      <alignment vertical="top"/>
    </xf>
    <xf numFmtId="0" fontId="2" fillId="8" borderId="1" applyAlignment="1" pivotButton="0" quotePrefix="0" xfId="0">
      <alignment vertical="top"/>
    </xf>
    <xf numFmtId="0" fontId="2" fillId="11" borderId="1" applyAlignment="1" pivotButton="0" quotePrefix="0" xfId="0">
      <alignment vertical="top"/>
    </xf>
    <xf numFmtId="0" fontId="2" fillId="12" borderId="1" applyAlignment="1" pivotButton="0" quotePrefix="0" xfId="0">
      <alignment vertical="top"/>
    </xf>
    <xf numFmtId="0" fontId="2" fillId="1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9"/>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0" customWidth="1" min="1" max="1"/>
    <col width="9" customWidth="1" min="2" max="2"/>
    <col width="32" customWidth="1" min="3" max="3"/>
    <col width="11" customWidth="1" min="4" max="4"/>
    <col width="22" customWidth="1" min="5" max="5"/>
    <col width="22" customWidth="1" min="6" max="6"/>
    <col width="34" customWidth="1" min="7" max="7"/>
    <col width="26" customWidth="1" min="8" max="8"/>
    <col width="11" customWidth="1" min="9" max="9"/>
    <col width="20" customWidth="1" min="10" max="10"/>
    <col width="30" customWidth="1" min="11" max="11"/>
    <col width="28" customWidth="1" min="12" max="12"/>
    <col width="52" customWidth="1" min="13" max="13"/>
    <col width="50" customWidth="1" min="14" max="14"/>
    <col width="32" customWidth="1" min="15" max="15"/>
  </cols>
  <sheetData>
    <row r="1" ht="32" customHeight="1">
      <c r="A1" s="1" t="inlineStr">
        <is>
          <t>Приоритет</t>
        </is>
      </c>
      <c r="B1" s="1" t="inlineStr">
        <is>
          <t>№ у клиента</t>
        </is>
      </c>
      <c r="C1" s="1" t="inlineStr">
        <is>
          <t>Направление</t>
        </is>
      </c>
      <c r="D1" s="1" t="inlineStr">
        <is>
          <t>На сайте</t>
        </is>
      </c>
      <c r="E1" s="1" t="inlineStr">
        <is>
          <t>Существующая страница</t>
        </is>
      </c>
      <c r="F1" s="1" t="inlineStr">
        <is>
          <t>Что сделать</t>
        </is>
      </c>
      <c r="G1" s="1" t="inlineStr">
        <is>
          <t>Страница (URL)</t>
        </is>
      </c>
      <c r="H1" s="1" t="inlineStr">
        <is>
          <t>Главный запрос (объём)</t>
        </is>
      </c>
      <c r="I1" s="1" t="inlineStr">
        <is>
          <t>Спрос группы, мес.</t>
        </is>
      </c>
      <c r="J1" s="1" t="inlineStr">
        <is>
          <t>Где делать (по выдаче)</t>
        </is>
      </c>
      <c r="K1" s="1" t="inlineStr">
        <is>
          <t>Кто в топ-10 Google</t>
        </is>
      </c>
      <c r="L1" s="1" t="inlineStr">
        <is>
          <t>Тип выдачи</t>
        </is>
      </c>
      <c r="M1" s="1" t="inlineStr">
        <is>
          <t>Вывод по выдаче</t>
        </is>
      </c>
      <c r="N1" s="1" t="inlineStr">
        <is>
          <t>Все запросы и объёмы</t>
        </is>
      </c>
      <c r="O1" s="1" t="inlineStr">
        <is>
          <t>Комментарий</t>
        </is>
      </c>
    </row>
    <row r="2" ht="67.5" customHeight="1">
      <c r="A2" s="2" t="inlineStr">
        <is>
          <t>P1</t>
        </is>
      </c>
      <c r="B2" s="3" t="n">
        <v>29</v>
      </c>
      <c r="C2" s="4" t="inlineStr">
        <is>
          <t>Лазерная резка</t>
        </is>
      </c>
      <c r="D2" s="5" t="inlineStr">
        <is>
          <t>Частично</t>
        </is>
      </c>
      <c r="E2" s="4" t="inlineStr">
        <is>
          <t>/uslugi/perforaciya-listov/</t>
        </is>
      </c>
      <c r="F2" s="4" t="inlineStr">
        <is>
          <t>Новая страница</t>
        </is>
      </c>
      <c r="G2" s="4" t="inlineStr">
        <is>
          <t>/uslugi/lazernaya-rezka/</t>
        </is>
      </c>
      <c r="H2" s="4" t="inlineStr">
        <is>
          <t>лазерная резка металла — 1000</t>
        </is>
      </c>
      <c r="I2" s="6">
        <f>SUMIFS(Запросы!$C$2:$C$109,Запросы!$A$2:$A$109,B2)</f>
        <v/>
      </c>
      <c r="J2" s="7" t="inlineStr">
        <is>
          <t>Страница на нашем сайте</t>
        </is>
      </c>
      <c r="K2" s="4">
        <f>"«лазерная резка нержавейки»: мини "&amp;COUNTIFS(Выдача!$A$2:$A$200,"лазерная резка нержавейки",Выдача!$G$2:$G$200,"Мини-сайт")&amp;" · средн. "&amp;COUNTIFS(Выдача!$A$2:$A$200,"лазерная резка нержавейки",Выдача!$G$2:$G$200,"Средний сайт")&amp;" · больш. "&amp;COUNTIFS(Выдача!$A$2:$A$200,"лазерная резка нержавейки",Выдача!$G$2:$G$200,"Большой сайт")&amp;" · портал "&amp;COUNTIFS(Выдача!$A$2:$A$200,"лазерная резка нержавейки",Выдача!$G$2:$G$200,"Портал / форум / вики")</f>
        <v/>
      </c>
      <c r="L2" s="4" t="inlineStr">
        <is>
          <t>Коммерческая: страницы услуг металлообработки</t>
        </is>
      </c>
      <c r="M2" s="4" t="inlineStr">
        <is>
          <t>В топе страницы услуг внутри средних сайтов металлообработки (promexcut, gravernu, metall-24). По общему «лазерная резка металла» выдача смешана со станками и статьями — целиться в «лазерную резку нержавейки».</t>
        </is>
      </c>
      <c r="N2" s="4" t="inlineStr">
        <is>
          <t>лазерная резка металла 1000, лазерная резка 600, лазерная резка нержавейки 500, лазерная резка нержавеющей стали 300, резка нержавейки лазером 200, лазерная резка металла нижний новгород 50, лазерная резка нижний новгород 40, лазерная резка нержавейки нижний новгород 0</t>
        </is>
      </c>
      <c r="O2" s="4" t="inlineStr">
        <is>
          <t>Старые адреса /laser/ и /lasertrub/ перенаправить сюда</t>
        </is>
      </c>
    </row>
    <row r="3" ht="40.5" customHeight="1">
      <c r="A3" s="2" t="inlineStr">
        <is>
          <t>P1</t>
        </is>
      </c>
      <c r="B3" s="3" t="n">
        <v>10</v>
      </c>
      <c r="C3" s="4" t="inlineStr">
        <is>
          <t>Анодирование алюминия (бцв, ч, нхр, нв)</t>
        </is>
      </c>
      <c r="D3" s="8" t="inlineStr">
        <is>
          <t>Нет</t>
        </is>
      </c>
      <c r="E3" s="4" t="inlineStr">
        <is>
          <t>—</t>
        </is>
      </c>
      <c r="F3" s="4" t="inlineStr">
        <is>
          <t>Новая страница</t>
        </is>
      </c>
      <c r="G3" s="4" t="inlineStr">
        <is>
          <t>/uslugi/galvanicheskie-pokrytiya/anodirovanie/</t>
        </is>
      </c>
      <c r="H3" s="4" t="inlineStr">
        <is>
          <t>анодирование — 900</t>
        </is>
      </c>
      <c r="I3" s="6">
        <f>SUMIFS(Запросы!$C$2:$C$109,Запросы!$A$2:$A$109,B3)</f>
        <v/>
      </c>
      <c r="J3" s="9" t="inlineStr">
        <is>
          <t>Отдельный сайт гальваники</t>
        </is>
      </c>
      <c r="K3" s="4">
        <f>"«анодирование алюминия»: мини "&amp;COUNTIFS(Выдача!$A$2:$A$200,"анодирование алюминия",Выдача!$G$2:$G$200,"Мини-сайт")&amp;" · средн. "&amp;COUNTIFS(Выдача!$A$2:$A$200,"анодирование алюминия",Выдача!$G$2:$G$200,"Средний сайт")&amp;" · больш. "&amp;COUNTIFS(Выдача!$A$2:$A$200,"анодирование алюминия",Выдача!$G$2:$G$200,"Большой сайт")&amp;" · портал "&amp;COUNTIFS(Выдача!$A$2:$A$200,"анодирование алюминия",Выдача!$G$2:$G$200,"Портал / форум / вики")</f>
        <v/>
      </c>
      <c r="L3" s="4" t="inlineStr">
        <is>
          <t>Смешанная: мелкие гальваники + статьи</t>
        </is>
      </c>
      <c r="M3" s="4" t="inlineStr">
        <is>
          <t>Конкуренты слабые: мини- и средние сайты (DR 0–21), плюс Drive2 и Википедия. Профильный гальванический сайт займёт топ быстрее, чем раздел на сайте нержавейки.</t>
        </is>
      </c>
      <c r="N3" s="4" t="inlineStr">
        <is>
          <t>анодирование 900, анодирование алюминия 600, анодное оксидирование 80, анодирование алюминия цена 70, цветное анодирование алюминия 30, анодирование нижний новгород 0</t>
        </is>
      </c>
      <c r="O3" s="4" t="inlineStr">
        <is>
          <t>Разделами на этой странице: № 11, 13, 14, 15</t>
        </is>
      </c>
    </row>
    <row r="4" ht="67.5" customHeight="1">
      <c r="A4" s="2" t="inlineStr">
        <is>
          <t>P1</t>
        </is>
      </c>
      <c r="B4" s="3" t="n">
        <v>1</v>
      </c>
      <c r="C4" s="4" t="inlineStr">
        <is>
          <t>Цинкование (бцв, хр, чёрное — П.бцв, П.хр, П.ч)</t>
        </is>
      </c>
      <c r="D4" s="8" t="inlineStr">
        <is>
          <t>Нет</t>
        </is>
      </c>
      <c r="E4" s="4" t="inlineStr">
        <is>
          <t>—</t>
        </is>
      </c>
      <c r="F4" s="4" t="inlineStr">
        <is>
          <t>Новая страница</t>
        </is>
      </c>
      <c r="G4" s="4" t="inlineStr">
        <is>
          <t>/uslugi/galvanicheskie-pokrytiya/cinkovanie/</t>
        </is>
      </c>
      <c r="H4" s="4" t="inlineStr">
        <is>
          <t>цинкование — 400</t>
        </is>
      </c>
      <c r="I4" s="6">
        <f>SUMIFS(Запросы!$C$2:$C$109,Запросы!$A$2:$A$109,B4)</f>
        <v/>
      </c>
      <c r="J4" s="9" t="inlineStr">
        <is>
          <t>Отдельный сайт гальваники</t>
        </is>
      </c>
      <c r="K4" s="4">
        <f>"«гальваническое цинкование»: мини "&amp;COUNTIFS(Выдача!$A$2:$A$200,"гальваническое цинкование",Выдача!$G$2:$G$200,"Мини-сайт")&amp;" · средн. "&amp;COUNTIFS(Выдача!$A$2:$A$200,"гальваническое цинкование",Выдача!$G$2:$G$200,"Средний сайт")&amp;" · больш. "&amp;COUNTIFS(Выдача!$A$2:$A$200,"гальваническое цинкование",Выдача!$G$2:$G$200,"Большой сайт")&amp;" · портал "&amp;COUNTIFS(Выдача!$A$2:$A$200,"гальваническое цинкование",Выдача!$G$2:$G$200,"Портал / форум / вики")</f>
        <v/>
      </c>
      <c r="L4" s="4" t="inlineStr">
        <is>
          <t>Информационная: статьи о технологии</t>
        </is>
      </c>
      <c r="M4" s="4" t="inlineStr">
        <is>
          <t>Услуг в топе почти нет — статьи, Drive2, PDF. По «цинкованию металла» ещё и горячее цинкование. Нужна страница услуги с блоком про технологию.</t>
        </is>
      </c>
      <c r="N4" s="4" t="inlineStr">
        <is>
          <t>цинкование 400, цинкование металла 300, гальваническое цинкование 150, цинкование деталей 50, черное цинкование 30, цинкование с хроматированием 20, оцинковка деталей 20, цинкование цена 20, желтое цинкование 10, цинкование крепежа 10, цинкование нижний новгород 0</t>
        </is>
      </c>
      <c r="O4" s="4" t="inlineStr">
        <is>
          <t>В тексте развести с горячим цинкованием</t>
        </is>
      </c>
    </row>
    <row r="5" ht="40.5" customHeight="1">
      <c r="A5" s="2" t="inlineStr">
        <is>
          <t>P1</t>
        </is>
      </c>
      <c r="B5" s="3" t="n">
        <v>25</v>
      </c>
      <c r="C5" s="4" t="inlineStr">
        <is>
          <t>Пассивация</t>
        </is>
      </c>
      <c r="D5" s="8" t="inlineStr">
        <is>
          <t>Нет</t>
        </is>
      </c>
      <c r="E5" s="4" t="inlineStr">
        <is>
          <t>только упоминание в блоге</t>
        </is>
      </c>
      <c r="F5" s="4" t="inlineStr">
        <is>
          <t>Новая страница (вместе с № 8)</t>
        </is>
      </c>
      <c r="G5" s="4" t="inlineStr">
        <is>
          <t>/uslugi/travlenie-i-passivaciya/</t>
        </is>
      </c>
      <c r="H5" s="4" t="inlineStr">
        <is>
          <t>пассивация — 300</t>
        </is>
      </c>
      <c r="I5" s="6">
        <f>SUMIFS(Запросы!$C$2:$C$109,Запросы!$A$2:$A$109,B5)</f>
        <v/>
      </c>
      <c r="J5" s="7" t="inlineStr">
        <is>
          <t>Страница на нашем сайте</t>
        </is>
      </c>
      <c r="K5" s="4">
        <f>"«пассивация нержавейки»: мини "&amp;COUNTIFS(Выдача!$A$2:$A$200,"пассивация нержавейки",Выдача!$G$2:$G$200,"Мини-сайт")&amp;" · средн. "&amp;COUNTIFS(Выдача!$A$2:$A$200,"пассивация нержавейки",Выдача!$G$2:$G$200,"Средний сайт")&amp;" · больш. "&amp;COUNTIFS(Выдача!$A$2:$A$200,"пассивация нержавейки",Выдача!$G$2:$G$200,"Большой сайт")&amp;" · портал "&amp;COUNTIFS(Выдача!$A$2:$A$200,"пассивация нержавейки",Выдача!$G$2:$G$200,"Портал / форум / вики")</f>
        <v/>
      </c>
      <c r="L5" s="4" t="inlineStr">
        <is>
          <t>Информационная: статьи</t>
        </is>
      </c>
      <c r="M5" s="4" t="inlineStr">
        <is>
          <t>Топ — статьи на средних и мини-сайтах, услуг почти нет. Профильно для нержавейки: страница «Травление и пассивация» на нашем сайте закроет и спрос, и тематику.</t>
        </is>
      </c>
      <c r="N5" s="4" t="inlineStr">
        <is>
          <t>пассивация 300, пассивация металла 150, пассивация нержавейки 150, пассивация нержавеющей стали 80</t>
        </is>
      </c>
      <c r="O5" s="4" t="inlineStr">
        <is>
          <t>Вместе с № 8 спрос около 900. Профильно для нержавейки</t>
        </is>
      </c>
    </row>
    <row r="6" ht="40.5" customHeight="1">
      <c r="A6" s="2" t="inlineStr">
        <is>
          <t>P1</t>
        </is>
      </c>
      <c r="B6" s="3" t="n">
        <v>8</v>
      </c>
      <c r="C6" s="4" t="inlineStr">
        <is>
          <t>Хим. пас (травление нержавейки)</t>
        </is>
      </c>
      <c r="D6" s="8" t="inlineStr">
        <is>
          <t>Нет</t>
        </is>
      </c>
      <c r="E6" s="4" t="inlineStr">
        <is>
          <t>—</t>
        </is>
      </c>
      <c r="F6" s="4" t="inlineStr">
        <is>
          <t>Та же страница, что № 25</t>
        </is>
      </c>
      <c r="G6" s="4" t="inlineStr">
        <is>
          <t>/uslugi/travlenie-i-passivaciya/</t>
        </is>
      </c>
      <c r="H6" s="4" t="inlineStr">
        <is>
          <t>травление металла — 150</t>
        </is>
      </c>
      <c r="I6" s="6">
        <f>SUMIFS(Запросы!$C$2:$C$109,Запросы!$A$2:$A$109,B6)</f>
        <v/>
      </c>
      <c r="J6" s="7" t="inlineStr">
        <is>
          <t>Страница на нашем сайте</t>
        </is>
      </c>
      <c r="K6" s="4">
        <f>"«травление нержавеющей стали»: мини "&amp;COUNTIFS(Выдача!$A$2:$A$200,"травление нержавеющей стали",Выдача!$G$2:$G$200,"Мини-сайт")&amp;" · средн. "&amp;COUNTIFS(Выдача!$A$2:$A$200,"травление нержавеющей стали",Выдача!$G$2:$G$200,"Средний сайт")&amp;" · больш. "&amp;COUNTIFS(Выдача!$A$2:$A$200,"травление нержавеющей стали",Выдача!$G$2:$G$200,"Большой сайт")&amp;" · портал "&amp;COUNTIFS(Выдача!$A$2:$A$200,"травление нержавеющей стали",Выдача!$G$2:$G$200,"Портал / форум / вики")</f>
        <v/>
      </c>
      <c r="L6" s="4" t="inlineStr">
        <is>
          <t>Информационная (данные Google устаревшие)</t>
        </is>
      </c>
      <c r="M6" s="4" t="inlineStr">
        <is>
          <t>Статьи «как травить на дому» на мини-сайтах. Отдельно не продвигать — входит в страницу № 25.</t>
        </is>
      </c>
      <c r="N6" s="4" t="inlineStr">
        <is>
          <t>травление металла 150, травление нержавеющей стали 40, травление нержавейки 30, травление сварных швов 0, травление и пассивация 0</t>
        </is>
      </c>
      <c r="O6" s="4" t="inlineStr"/>
    </row>
    <row r="7" ht="54" customHeight="1">
      <c r="A7" s="2" t="inlineStr">
        <is>
          <t>P1</t>
        </is>
      </c>
      <c r="B7" s="3" t="n">
        <v>30</v>
      </c>
      <c r="C7" s="4" t="inlineStr">
        <is>
          <t>Гидроабразивная резка</t>
        </is>
      </c>
      <c r="D7" s="5" t="inlineStr">
        <is>
          <t>Частично</t>
        </is>
      </c>
      <c r="E7" s="4" t="inlineStr">
        <is>
          <t>/uslugi/perforaciya-listov/</t>
        </is>
      </c>
      <c r="F7" s="4" t="inlineStr">
        <is>
          <t>Новая страница</t>
        </is>
      </c>
      <c r="G7" s="4" t="inlineStr">
        <is>
          <t>/uslugi/gidroabrazivnaya-rezka/</t>
        </is>
      </c>
      <c r="H7" s="4" t="inlineStr">
        <is>
          <t>гидроабразивная резка — 350</t>
        </is>
      </c>
      <c r="I7" s="6">
        <f>SUMIFS(Запросы!$C$2:$C$109,Запросы!$A$2:$A$109,B7)</f>
        <v/>
      </c>
      <c r="J7" s="7" t="inlineStr">
        <is>
          <t>Страница на нашем сайте</t>
        </is>
      </c>
      <c r="K7" s="4">
        <f>"«гидроабразивная резка металла»: мини "&amp;COUNTIFS(Выдача!$A$2:$A$200,"гидроабразивная резка металла",Выдача!$G$2:$G$200,"Мини-сайт")&amp;" · средн. "&amp;COUNTIFS(Выдача!$A$2:$A$200,"гидроабразивная резка металла",Выдача!$G$2:$G$200,"Средний сайт")&amp;" · больш. "&amp;COUNTIFS(Выдача!$A$2:$A$200,"гидроабразивная резка металла",Выдача!$G$2:$G$200,"Большой сайт")&amp;" · портал "&amp;COUNTIFS(Выдача!$A$2:$A$200,"гидроабразивная резка металла",Выдача!$G$2:$G$200,"Портал / форум / вики")</f>
        <v/>
      </c>
      <c r="L7" s="4" t="inlineStr">
        <is>
          <t>Смешанная: мини-сайт под услугу + страницы услуг + статьи</t>
        </is>
      </c>
      <c r="M7" s="4" t="inlineStr">
        <is>
          <t>На 2-м месте мини-сайт kit-cut.ru (главная целиком про гидрорезку), рядом страницы услуг utk-steel и promexcut. Страница на нашем сайте подходит; мини-сайт — только если есть свой станок в Нижнем Новгороде.</t>
        </is>
      </c>
      <c r="N7" s="4" t="inlineStr">
        <is>
          <t>гидроабразивная резка 350, гидроабразивная резка металла 300, гидрорезка 200, гидроабразивная резка нижний новгород 20</t>
        </is>
      </c>
      <c r="O7" s="4" t="inlineStr">
        <is>
          <t>Старый адрес /gidroabraziv/ перенаправить сюда</t>
        </is>
      </c>
    </row>
    <row r="8" ht="54" customHeight="1">
      <c r="A8" s="2" t="inlineStr">
        <is>
          <t>P1</t>
        </is>
      </c>
      <c r="B8" s="3" t="inlineStr">
        <is>
          <t>Хаб</t>
        </is>
      </c>
      <c r="C8" s="4" t="inlineStr">
        <is>
          <t>Хаб «Гальванические покрытия»</t>
        </is>
      </c>
      <c r="D8" s="8" t="inlineStr">
        <is>
          <t>Нет</t>
        </is>
      </c>
      <c r="E8" s="4" t="inlineStr">
        <is>
          <t>—</t>
        </is>
      </c>
      <c r="F8" s="4" t="inlineStr">
        <is>
          <t>Новая страница (хаб)</t>
        </is>
      </c>
      <c r="G8" s="4" t="inlineStr">
        <is>
          <t>/uslugi/galvanicheskie-pokrytiya/</t>
        </is>
      </c>
      <c r="H8" s="4" t="inlineStr">
        <is>
          <t>гальванические покрытия — 150</t>
        </is>
      </c>
      <c r="I8" s="6">
        <f>SUMIFS(Запросы!$C$2:$C$109,Запросы!$A$2:$A$109,B8)</f>
        <v/>
      </c>
      <c r="J8" s="9" t="inlineStr">
        <is>
          <t>Отдельный сайт гальваники</t>
        </is>
      </c>
      <c r="K8" s="4">
        <f>"«гальванические покрытия»: мини "&amp;COUNTIFS(Выдача!$A$2:$A$200,"гальванические покрытия",Выдача!$G$2:$G$200,"Мини-сайт")&amp;" · средн. "&amp;COUNTIFS(Выдача!$A$2:$A$200,"гальванические покрытия",Выдача!$G$2:$G$200,"Средний сайт")&amp;" · больш. "&amp;COUNTIFS(Выдача!$A$2:$A$200,"гальванические покрытия",Выдача!$G$2:$G$200,"Большой сайт")&amp;" · портал "&amp;COUNTIFS(Выдача!$A$2:$A$200,"гальванические покрытия",Выдача!$G$2:$G$200,"Портал / форум / вики")</f>
        <v/>
      </c>
      <c r="L8" s="4" t="inlineStr">
        <is>
          <t>Информационная: обзорные статьи</t>
        </is>
      </c>
      <c r="M8" s="4" t="inlineStr">
        <is>
          <t>Топ — обзорные статьи на средних сайтах. Это главная страница будущего гальванического сайта.</t>
        </is>
      </c>
      <c r="N8" s="4" t="inlineStr">
        <is>
          <t>гальванические покрытия 150, гальваническое покрытие металла 90, нанесение гальванических покрытий 80, услуги гальваники 40, гальваника на заказ 20, гальваника нижний новгород 0</t>
        </is>
      </c>
      <c r="O8" s="4" t="inlineStr">
        <is>
          <t>Ссылки на все покрытия. Общий запрос «гальваника» (2500) в сумму не включён</t>
        </is>
      </c>
    </row>
    <row r="9" ht="54" customHeight="1">
      <c r="A9" s="2" t="inlineStr">
        <is>
          <t>P1</t>
        </is>
      </c>
      <c r="B9" s="3" t="n">
        <v>18</v>
      </c>
      <c r="C9" s="4" t="inlineStr">
        <is>
          <t>Хромирование твёрдое</t>
        </is>
      </c>
      <c r="D9" s="8" t="inlineStr">
        <is>
          <t>Нет</t>
        </is>
      </c>
      <c r="E9" s="4" t="inlineStr">
        <is>
          <t>—</t>
        </is>
      </c>
      <c r="F9" s="4" t="inlineStr">
        <is>
          <t>Новая страница</t>
        </is>
      </c>
      <c r="G9" s="4" t="inlineStr">
        <is>
          <t>/uslugi/galvanicheskie-pokrytiya/hromirovanie/</t>
        </is>
      </c>
      <c r="H9" s="4" t="inlineStr">
        <is>
          <t>хромирование деталей — 250</t>
        </is>
      </c>
      <c r="I9" s="6">
        <f>SUMIFS(Запросы!$C$2:$C$109,Запросы!$A$2:$A$109,B9)</f>
        <v/>
      </c>
      <c r="J9" s="9" t="inlineStr">
        <is>
          <t>Отдельный сайт гальваники</t>
        </is>
      </c>
      <c r="K9" s="4">
        <f>"«твердое хромирование»: мини "&amp;COUNTIFS(Выдача!$A$2:$A$200,"твердое хромирование",Выдача!$G$2:$G$200,"Мини-сайт")&amp;" · средн. "&amp;COUNTIFS(Выдача!$A$2:$A$200,"твердое хромирование",Выдача!$G$2:$G$200,"Средний сайт")&amp;" · больш. "&amp;COUNTIFS(Выдача!$A$2:$A$200,"твердое хромирование",Выдача!$G$2:$G$200,"Большой сайт")&amp;" · портал "&amp;COUNTIFS(Выдача!$A$2:$A$200,"твердое хромирование",Выдача!$G$2:$G$200,"Портал / форум / вики")</f>
        <v/>
      </c>
      <c r="L9" s="4" t="inlineStr">
        <is>
          <t>Коммерческая: мини-сайты гальваник (по «хромированию деталей» — авто-хром и маркетплейсы)</t>
        </is>
      </c>
      <c r="M9" s="4" t="inlineStr">
        <is>
          <t>«Хромирование деталей» — Avito, Ozon, автотюнинг (декоративный хром). «Твёрдое хромирование» — мини-сайты гальваник (hrom-prom, galvanika-msk). Целиться в техническое твёрдое хромирование.</t>
        </is>
      </c>
      <c r="N9" s="4" t="inlineStr">
        <is>
          <t>хромирование 250, хромирование деталей 250, гальваническое хромирование 80, твердое хромирование 20, хромирование штоков 0, хромирование нижний новгород 0</t>
        </is>
      </c>
      <c r="O9" s="4" t="inlineStr">
        <is>
          <t>«хромирование штоков» проверить в Wordstat</t>
        </is>
      </c>
    </row>
    <row r="10" ht="40.5" customHeight="1">
      <c r="A10" s="2" t="inlineStr">
        <is>
          <t>P1</t>
        </is>
      </c>
      <c r="B10" s="3" t="n">
        <v>4</v>
      </c>
      <c r="C10" s="4" t="inlineStr">
        <is>
          <t>Гальваническое никелирование (блестящее)</t>
        </is>
      </c>
      <c r="D10" s="8" t="inlineStr">
        <is>
          <t>Нет</t>
        </is>
      </c>
      <c r="E10" s="4" t="inlineStr">
        <is>
          <t>—</t>
        </is>
      </c>
      <c r="F10" s="4" t="inlineStr">
        <is>
          <t>Новая страница</t>
        </is>
      </c>
      <c r="G10" s="4" t="inlineStr">
        <is>
          <t>/uslugi/galvanicheskie-pokrytiya/nikelirovanie/</t>
        </is>
      </c>
      <c r="H10" s="4" t="inlineStr">
        <is>
          <t>никелирование — 350</t>
        </is>
      </c>
      <c r="I10" s="6">
        <f>SUMIFS(Запросы!$C$2:$C$109,Запросы!$A$2:$A$109,B10)</f>
        <v/>
      </c>
      <c r="J10" s="9" t="inlineStr">
        <is>
          <t>Отдельный сайт гальваники</t>
        </is>
      </c>
      <c r="K10" s="4">
        <f>"«никелирование»: мини "&amp;COUNTIFS(Выдача!$A$2:$A$200,"никелирование",Выдача!$G$2:$G$200,"Мини-сайт")&amp;" · средн. "&amp;COUNTIFS(Выдача!$A$2:$A$200,"никелирование",Выдача!$G$2:$G$200,"Средний сайт")&amp;" · больш. "&amp;COUNTIFS(Выдача!$A$2:$A$200,"никелирование",Выдача!$G$2:$G$200,"Большой сайт")&amp;" · портал "&amp;COUNTIFS(Выдача!$A$2:$A$200,"никелирование",Выдача!$G$2:$G$200,"Портал / форум / вики")</f>
        <v/>
      </c>
      <c r="L10" s="4" t="inlineStr">
        <is>
          <t>Смешанная: узкие гальваники + статьи</t>
        </is>
      </c>
      <c r="M10" s="4" t="inlineStr">
        <is>
          <t>Мини- и средние гальванические сайты (chemnikel, 6mkm, zctc), больших игроков нет.</t>
        </is>
      </c>
      <c r="N10" s="4" t="inlineStr">
        <is>
          <t>никелирование 350, гальваническое никелирование 60, никелирование металла 50, никелирование деталей 50, блестящее никелирование 0</t>
        </is>
      </c>
      <c r="O10" s="4" t="inlineStr">
        <is>
          <t>Разделом на этой странице: № 5</t>
        </is>
      </c>
    </row>
    <row r="11" ht="40.5" customHeight="1">
      <c r="A11" s="2" t="inlineStr">
        <is>
          <t>P1</t>
        </is>
      </c>
      <c r="B11" s="3" t="n">
        <v>6</v>
      </c>
      <c r="C11" s="4" t="inlineStr">
        <is>
          <t>Электрохимическое полирование (нерж.)</t>
        </is>
      </c>
      <c r="D11" s="5" t="inlineStr">
        <is>
          <t>Частично</t>
        </is>
      </c>
      <c r="E11" s="4" t="inlineStr">
        <is>
          <t>/uslugi/polirovka/</t>
        </is>
      </c>
      <c r="F11" s="4" t="inlineStr">
        <is>
          <t>Новая страница</t>
        </is>
      </c>
      <c r="G11" s="4" t="inlineStr">
        <is>
          <t>/uslugi/elektrohimicheskaya-polirovka/</t>
        </is>
      </c>
      <c r="H11" s="4" t="inlineStr">
        <is>
          <t>электрополировка — 90</t>
        </is>
      </c>
      <c r="I11" s="6">
        <f>SUMIFS(Запросы!$C$2:$C$109,Запросы!$A$2:$A$109,B11)</f>
        <v/>
      </c>
      <c r="J11" s="7" t="inlineStr">
        <is>
          <t>Страница на нашем сайте</t>
        </is>
      </c>
      <c r="K11" s="4">
        <f>"«электрохимическая полировка»: мини "&amp;COUNTIFS(Выдача!$A$2:$A$200,"электрохимическая полировка",Выдача!$G$2:$G$200,"Мини-сайт")&amp;" · средн. "&amp;COUNTIFS(Выдача!$A$2:$A$200,"электрохимическая полировка",Выдача!$G$2:$G$200,"Средний сайт")&amp;" · больш. "&amp;COUNTIFS(Выдача!$A$2:$A$200,"электрохимическая полировка",Выдача!$G$2:$G$200,"Большой сайт")&amp;" · портал "&amp;COUNTIFS(Выдача!$A$2:$A$200,"электрохимическая полировка",Выдача!$G$2:$G$200,"Портал / форум / вики")</f>
        <v/>
      </c>
      <c r="L11" s="4" t="inlineStr">
        <is>
          <t>Информационная: статьи и форумы</t>
        </is>
      </c>
      <c r="M11" s="4" t="inlineStr">
        <is>
          <t>Статьи, Habr, форумы; услуг мало. Профильно для нержавейки (пищевые линии) — страница на нашем сайте.</t>
        </is>
      </c>
      <c r="N11" s="4" t="inlineStr">
        <is>
          <t>электрополировка 90, электрохимическая полировка 80, электрохимическая полировка нержавейки 30, электрополировка нержавеющей стали 30, электрополировка нержавейки 10</t>
        </is>
      </c>
      <c r="O11" s="4" t="inlineStr">
        <is>
          <t>Спрос средний, но профильно для нержавейки. Разделом: № 7</t>
        </is>
      </c>
    </row>
    <row r="12" ht="40.5" customHeight="1">
      <c r="A12" s="10" t="inlineStr">
        <is>
          <t>P2</t>
        </is>
      </c>
      <c r="B12" s="3" t="n">
        <v>9</v>
      </c>
      <c r="C12" s="4" t="inlineStr">
        <is>
          <t>Хим. оксидирование стали с промасливанием</t>
        </is>
      </c>
      <c r="D12" s="8" t="inlineStr">
        <is>
          <t>Нет</t>
        </is>
      </c>
      <c r="E12" s="4" t="inlineStr">
        <is>
          <t>—</t>
        </is>
      </c>
      <c r="F12" s="4" t="inlineStr">
        <is>
          <t>Новая страница</t>
        </is>
      </c>
      <c r="G12" s="4" t="inlineStr">
        <is>
          <t>/uslugi/galvanicheskie-pokrytiya/oksidirovanie-stali/</t>
        </is>
      </c>
      <c r="H12" s="4" t="inlineStr">
        <is>
          <t>воронение металла — 350</t>
        </is>
      </c>
      <c r="I12" s="6">
        <f>SUMIFS(Запросы!$C$2:$C$109,Запросы!$A$2:$A$109,B12)</f>
        <v/>
      </c>
      <c r="J12" s="9" t="inlineStr">
        <is>
          <t>Отдельный сайт гальваники</t>
        </is>
      </c>
      <c r="K12" s="4">
        <f>"«оксидирование стали»: мини "&amp;COUNTIFS(Выдача!$A$2:$A$200,"оксидирование стали",Выдача!$G$2:$G$200,"Мини-сайт")&amp;" · средн. "&amp;COUNTIFS(Выдача!$A$2:$A$200,"оксидирование стали",Выдача!$G$2:$G$200,"Средний сайт")&amp;" · больш. "&amp;COUNTIFS(Выдача!$A$2:$A$200,"оксидирование стали",Выдача!$G$2:$G$200,"Большой сайт")&amp;" · портал "&amp;COUNTIFS(Выдача!$A$2:$A$200,"оксидирование стали",Выдача!$G$2:$G$200,"Портал / форум / вики")</f>
        <v/>
      </c>
      <c r="L12" s="4" t="inlineStr">
        <is>
          <t>Смешанная: статьи + услуги гальваник</t>
        </is>
      </c>
      <c r="M12" s="4" t="inlineStr">
        <is>
          <t>Мини- и средние сайты (smetiz, vskplast, zctc) плюс Википедия. Конкуренция низкая.</t>
        </is>
      </c>
      <c r="N12" s="4" t="inlineStr">
        <is>
          <t>воронение металла 350, оксидирование 250, оксидирование стали 150, химическое оксидирование 100, химическое оксидирование стали 50</t>
        </is>
      </c>
      <c r="O12" s="4" t="inlineStr">
        <is>
          <t>Много бытовых запросов про воронение</t>
        </is>
      </c>
    </row>
    <row r="13" ht="27" customHeight="1">
      <c r="A13" s="10" t="inlineStr">
        <is>
          <t>P2</t>
        </is>
      </c>
      <c r="B13" s="3" t="n">
        <v>23</v>
      </c>
      <c r="C13" s="4" t="inlineStr">
        <is>
          <t>Хим. фосфатирование с оксидированием</t>
        </is>
      </c>
      <c r="D13" s="8" t="inlineStr">
        <is>
          <t>Нет</t>
        </is>
      </c>
      <c r="E13" s="4" t="inlineStr">
        <is>
          <t>—</t>
        </is>
      </c>
      <c r="F13" s="4" t="inlineStr">
        <is>
          <t>Новая страница</t>
        </is>
      </c>
      <c r="G13" s="4" t="inlineStr">
        <is>
          <t>/uslugi/galvanicheskie-pokrytiya/fosfatirovanie/</t>
        </is>
      </c>
      <c r="H13" s="4" t="inlineStr">
        <is>
          <t>фосфатирование — 300</t>
        </is>
      </c>
      <c r="I13" s="6">
        <f>SUMIFS(Запросы!$C$2:$C$109,Запросы!$A$2:$A$109,B13)</f>
        <v/>
      </c>
      <c r="J13" s="9" t="inlineStr">
        <is>
          <t>Отдельный сайт гальваники</t>
        </is>
      </c>
      <c r="K13" s="4">
        <f>"«фосфатирование металла»: мини "&amp;COUNTIFS(Выдача!$A$2:$A$200,"фосфатирование металла",Выдача!$G$2:$G$200,"Мини-сайт")&amp;" · средн. "&amp;COUNTIFS(Выдача!$A$2:$A$200,"фосфатирование металла",Выдача!$G$2:$G$200,"Средний сайт")&amp;" · больш. "&amp;COUNTIFS(Выдача!$A$2:$A$200,"фосфатирование металла",Выдача!$G$2:$G$200,"Большой сайт")&amp;" · портал "&amp;COUNTIFS(Выдача!$A$2:$A$200,"фосфатирование металла",Выдача!$G$2:$G$200,"Портал / форум / вики")</f>
        <v/>
      </c>
      <c r="L13" s="4" t="inlineStr">
        <is>
          <t>Информационная</t>
        </is>
      </c>
      <c r="M13" s="4" t="inlineStr">
        <is>
          <t>Статьи, Википедия, Drive2; услуги только у узких гальваник.</t>
        </is>
      </c>
      <c r="N13" s="4" t="inlineStr">
        <is>
          <t>фосфатирование 300, фосфатирование металла 150, химическое фосфатирование 40</t>
        </is>
      </c>
      <c r="O13" s="4" t="inlineStr"/>
    </row>
    <row r="14" ht="27" customHeight="1">
      <c r="A14" s="10" t="inlineStr">
        <is>
          <t>P2</t>
        </is>
      </c>
      <c r="B14" s="3" t="n">
        <v>12</v>
      </c>
      <c r="C14" s="4" t="inlineStr">
        <is>
          <t>Анодирование титана (аноцвет)</t>
        </is>
      </c>
      <c r="D14" s="8" t="inlineStr">
        <is>
          <t>Нет</t>
        </is>
      </c>
      <c r="E14" s="4" t="inlineStr">
        <is>
          <t>—</t>
        </is>
      </c>
      <c r="F14" s="4" t="inlineStr">
        <is>
          <t>Новая страница</t>
        </is>
      </c>
      <c r="G14" s="4" t="inlineStr">
        <is>
          <t>/uslugi/galvanicheskie-pokrytiya/anodirovanie-titana/</t>
        </is>
      </c>
      <c r="H14" s="4" t="inlineStr">
        <is>
          <t>анодирование титана — 400</t>
        </is>
      </c>
      <c r="I14" s="6">
        <f>SUMIFS(Запросы!$C$2:$C$109,Запросы!$A$2:$A$109,B14)</f>
        <v/>
      </c>
      <c r="J14" s="9" t="inlineStr">
        <is>
          <t>Отдельный сайт гальваники</t>
        </is>
      </c>
      <c r="K14" s="4">
        <f>"«анодирование титана»: мини "&amp;COUNTIFS(Выдача!$A$2:$A$200,"анодирование титана",Выдача!$G$2:$G$200,"Мини-сайт")&amp;" · средн. "&amp;COUNTIFS(Выдача!$A$2:$A$200,"анодирование титана",Выдача!$G$2:$G$200,"Средний сайт")&amp;" · больш. "&amp;COUNTIFS(Выдача!$A$2:$A$200,"анодирование титана",Выдача!$G$2:$G$200,"Большой сайт")&amp;" · портал "&amp;COUNTIFS(Выдача!$A$2:$A$200,"анодирование титана",Выдача!$G$2:$G$200,"Портал / форум / вики")</f>
        <v/>
      </c>
      <c r="L14" s="4" t="inlineStr">
        <is>
          <t>Хобби / форумы + мелкие услуги</t>
        </is>
      </c>
      <c r="M14" s="4" t="inlineStr">
        <is>
          <t>Форумы (guns.ru, VK) и мини-сайты; спрос частично частный (ножи, украшения).</t>
        </is>
      </c>
      <c r="N14" s="4" t="inlineStr">
        <is>
          <t>анодирование титана 400</t>
        </is>
      </c>
      <c r="O14" s="4" t="inlineStr"/>
    </row>
    <row r="15" ht="27" customHeight="1">
      <c r="A15" s="10" t="inlineStr">
        <is>
          <t>P2</t>
        </is>
      </c>
      <c r="B15" s="3" t="n">
        <v>19</v>
      </c>
      <c r="C15" s="4" t="inlineStr">
        <is>
          <t>Серебрение</t>
        </is>
      </c>
      <c r="D15" s="8" t="inlineStr">
        <is>
          <t>Нет</t>
        </is>
      </c>
      <c r="E15" s="4" t="inlineStr">
        <is>
          <t>—</t>
        </is>
      </c>
      <c r="F15" s="4" t="inlineStr">
        <is>
          <t>Новая страница</t>
        </is>
      </c>
      <c r="G15" s="4" t="inlineStr">
        <is>
          <t>/uslugi/galvanicheskie-pokrytiya/serebrenie/</t>
        </is>
      </c>
      <c r="H15" s="4" t="inlineStr">
        <is>
          <t>серебрение — 150</t>
        </is>
      </c>
      <c r="I15" s="6">
        <f>SUMIFS(Запросы!$C$2:$C$109,Запросы!$A$2:$A$109,B15)</f>
        <v/>
      </c>
      <c r="J15" s="9" t="inlineStr">
        <is>
          <t>Отдельный сайт гальваники</t>
        </is>
      </c>
      <c r="K15" s="4">
        <f>"«гальваническое серебрение»: мини "&amp;COUNTIFS(Выдача!$A$2:$A$200,"гальваническое серебрение",Выдача!$G$2:$G$200,"Мини-сайт")&amp;" · средн. "&amp;COUNTIFS(Выдача!$A$2:$A$200,"гальваническое серебрение",Выдача!$G$2:$G$200,"Средний сайт")&amp;" · больш. "&amp;COUNTIFS(Выдача!$A$2:$A$200,"гальваническое серебрение",Выдача!$G$2:$G$200,"Большой сайт")&amp;" · портал "&amp;COUNTIFS(Выдача!$A$2:$A$200,"гальваническое серебрение",Выдача!$G$2:$G$200,"Портал / форум / вики")</f>
        <v/>
      </c>
      <c r="L15" s="4" t="inlineStr">
        <is>
          <t>Коммерческая: мини-сайты гальваник</t>
        </is>
      </c>
      <c r="M15" s="4" t="inlineStr">
        <is>
          <t>Топ почти целиком из мини-сайтов — узкий гальванический сайт здесь в своей среде.</t>
        </is>
      </c>
      <c r="N15" s="4" t="inlineStr">
        <is>
          <t>серебрение 150, гальваническое серебрение 150, серебрение металла 50</t>
        </is>
      </c>
      <c r="O15" s="4" t="inlineStr"/>
    </row>
    <row r="16" ht="40.5" customHeight="1">
      <c r="A16" s="10" t="inlineStr">
        <is>
          <t>P2</t>
        </is>
      </c>
      <c r="B16" s="3" t="n">
        <v>27</v>
      </c>
      <c r="C16" s="4" t="inlineStr">
        <is>
          <t>Шлифовка продольная</t>
        </is>
      </c>
      <c r="D16" s="5" t="inlineStr">
        <is>
          <t>Возможно</t>
        </is>
      </c>
      <c r="E16" s="4" t="inlineStr">
        <is>
          <t>/uslugi/shlifovanie/</t>
        </is>
      </c>
      <c r="F16" s="4" t="inlineStr">
        <is>
          <t>Уточнить у клиента</t>
        </is>
      </c>
      <c r="G16" s="4" t="inlineStr">
        <is>
          <t>—</t>
        </is>
      </c>
      <c r="H16" s="4" t="inlineStr">
        <is>
          <t>шлифовка металла — 250</t>
        </is>
      </c>
      <c r="I16" s="6">
        <f>SUMIFS(Запросы!$C$2:$C$109,Запросы!$A$2:$A$109,B16)</f>
        <v/>
      </c>
      <c r="J16" s="11" t="inlineStr">
        <is>
          <t>Уточнить у клиента</t>
        </is>
      </c>
      <c r="K16" s="4" t="inlineStr">
        <is>
          <t>нет данных</t>
        </is>
      </c>
      <c r="L16" s="4" t="inlineStr">
        <is>
          <t>Нет данных в Ahrefs</t>
        </is>
      </c>
      <c r="M16" s="4" t="inlineStr">
        <is>
          <t>Выдачи в Ahrefs нет — проверить в Яндексе и уточнить у клиента, что имеется в виду.</t>
        </is>
      </c>
      <c r="N16" s="4" t="inlineStr">
        <is>
          <t>шлифовка металла 250, плоская шлифовка 30, плоское шлифование 20, шлифовка металла на заказ 0</t>
        </is>
      </c>
      <c r="O16" s="4" t="inlineStr">
        <is>
          <t>Если это шлифовка листа — страница уже есть («шлифовка нержавейки»: Ahrefs 70, Wordstat 65)</t>
        </is>
      </c>
    </row>
    <row r="17" ht="27" customHeight="1">
      <c r="A17" s="10" t="inlineStr">
        <is>
          <t>P2</t>
        </is>
      </c>
      <c r="B17" s="3" t="n">
        <v>16</v>
      </c>
      <c r="C17" s="4" t="inlineStr">
        <is>
          <t>Оловянирование</t>
        </is>
      </c>
      <c r="D17" s="8" t="inlineStr">
        <is>
          <t>Нет</t>
        </is>
      </c>
      <c r="E17" s="4" t="inlineStr">
        <is>
          <t>—</t>
        </is>
      </c>
      <c r="F17" s="4" t="inlineStr">
        <is>
          <t>Новая страница</t>
        </is>
      </c>
      <c r="G17" s="4" t="inlineStr">
        <is>
          <t>/uslugi/galvanicheskie-pokrytiya/olovyanirovanie/</t>
        </is>
      </c>
      <c r="H17" s="4" t="inlineStr">
        <is>
          <t>лужение — 200</t>
        </is>
      </c>
      <c r="I17" s="6">
        <f>SUMIFS(Запросы!$C$2:$C$109,Запросы!$A$2:$A$109,B17)</f>
        <v/>
      </c>
      <c r="J17" s="9" t="inlineStr">
        <is>
          <t>Отдельный сайт гальваники</t>
        </is>
      </c>
      <c r="K17" s="4">
        <f>"«оловянирование»: мини "&amp;COUNTIFS(Выдача!$A$2:$A$200,"оловянирование",Выдача!$G$2:$G$200,"Мини-сайт")&amp;" · средн. "&amp;COUNTIFS(Выдача!$A$2:$A$200,"оловянирование",Выдача!$G$2:$G$200,"Средний сайт")&amp;" · больш. "&amp;COUNTIFS(Выдача!$A$2:$A$200,"оловянирование",Выдача!$G$2:$G$200,"Большой сайт")&amp;" · портал "&amp;COUNTIFS(Выдача!$A$2:$A$200,"оловянирование",Выдача!$G$2:$G$200,"Портал / форум / вики")</f>
        <v/>
      </c>
      <c r="L17" s="4" t="inlineStr">
        <is>
          <t>Коммерческая: мини-сайты гальваник</t>
        </is>
      </c>
      <c r="M17" s="4" t="inlineStr">
        <is>
          <t>Почти весь топ — мини-сайты гальваник и производителей гальванических линий.</t>
        </is>
      </c>
      <c r="N17" s="4" t="inlineStr">
        <is>
          <t>лужение 200, оловянирование 40, лужение меди 40, гальваническое лужение 10</t>
        </is>
      </c>
      <c r="O17" s="4" t="inlineStr">
        <is>
          <t>Разделом на этой странице: № 17</t>
        </is>
      </c>
    </row>
    <row r="18" ht="27" customHeight="1">
      <c r="A18" s="10" t="inlineStr">
        <is>
          <t>P2</t>
        </is>
      </c>
      <c r="B18" s="3" t="n">
        <v>3</v>
      </c>
      <c r="C18" s="4" t="inlineStr">
        <is>
          <t>Меднение</t>
        </is>
      </c>
      <c r="D18" s="8" t="inlineStr">
        <is>
          <t>Нет</t>
        </is>
      </c>
      <c r="E18" s="4" t="inlineStr">
        <is>
          <t>—</t>
        </is>
      </c>
      <c r="F18" s="4" t="inlineStr">
        <is>
          <t>Новая страница</t>
        </is>
      </c>
      <c r="G18" s="4" t="inlineStr">
        <is>
          <t>/uslugi/galvanicheskie-pokrytiya/mednenie/</t>
        </is>
      </c>
      <c r="H18" s="4" t="inlineStr">
        <is>
          <t>меднение — 100</t>
        </is>
      </c>
      <c r="I18" s="6">
        <f>SUMIFS(Запросы!$C$2:$C$109,Запросы!$A$2:$A$109,B18)</f>
        <v/>
      </c>
      <c r="J18" s="9" t="inlineStr">
        <is>
          <t>Отдельный сайт гальваники</t>
        </is>
      </c>
      <c r="K18" s="4">
        <f>"«гальваническое меднение»: мини "&amp;COUNTIFS(Выдача!$A$2:$A$200,"гальваническое меднение",Выдача!$G$2:$G$200,"Мини-сайт")&amp;" · средн. "&amp;COUNTIFS(Выдача!$A$2:$A$200,"гальваническое меднение",Выдача!$G$2:$G$200,"Средний сайт")&amp;" · больш. "&amp;COUNTIFS(Выдача!$A$2:$A$200,"гальваническое меднение",Выдача!$G$2:$G$200,"Большой сайт")&amp;" · портал "&amp;COUNTIFS(Выдача!$A$2:$A$200,"гальваническое меднение",Выдача!$G$2:$G$200,"Портал / форум / вики")</f>
        <v/>
      </c>
      <c r="L18" s="4" t="inlineStr">
        <is>
          <t>Смешанная: гальваники + статья «в домашних условиях»</t>
        </is>
      </c>
      <c r="M18" s="4" t="inlineStr">
        <is>
          <t>Мини- и средние гальванические сайты (zctc, ezetek, plast-product); на 1-м месте статья для домашних мастеров.</t>
        </is>
      </c>
      <c r="N18" s="4" t="inlineStr">
        <is>
          <t>меднение 100, меднение металла 70, гальваническое меднение 60, меднение алюминия 40</t>
        </is>
      </c>
      <c r="O18" s="4" t="inlineStr"/>
    </row>
    <row r="19" ht="27" customHeight="1">
      <c r="A19" s="10" t="inlineStr">
        <is>
          <t>P2</t>
        </is>
      </c>
      <c r="B19" s="3" t="n">
        <v>20</v>
      </c>
      <c r="C19" s="4" t="inlineStr">
        <is>
          <t>Золочение</t>
        </is>
      </c>
      <c r="D19" s="8" t="inlineStr">
        <is>
          <t>Нет</t>
        </is>
      </c>
      <c r="E19" s="4" t="inlineStr">
        <is>
          <t>—</t>
        </is>
      </c>
      <c r="F19" s="4" t="inlineStr">
        <is>
          <t>Новая страница</t>
        </is>
      </c>
      <c r="G19" s="4" t="inlineStr">
        <is>
          <t>/uslugi/galvanicheskie-pokrytiya/zolochenie/</t>
        </is>
      </c>
      <c r="H19" s="4" t="inlineStr">
        <is>
          <t>гальваническое золочение — 150</t>
        </is>
      </c>
      <c r="I19" s="6">
        <f>SUMIFS(Запросы!$C$2:$C$109,Запросы!$A$2:$A$109,B19)</f>
        <v/>
      </c>
      <c r="J19" s="9" t="inlineStr">
        <is>
          <t>Отдельный сайт гальваники</t>
        </is>
      </c>
      <c r="K19" s="4">
        <f>"«гальваническое золочение»: мини "&amp;COUNTIFS(Выдача!$A$2:$A$200,"гальваническое золочение",Выдача!$G$2:$G$200,"Мини-сайт")&amp;" · средн. "&amp;COUNTIFS(Выдача!$A$2:$A$200,"гальваническое золочение",Выдача!$G$2:$G$200,"Средний сайт")&amp;" · больш. "&amp;COUNTIFS(Выдача!$A$2:$A$200,"гальваническое золочение",Выдача!$G$2:$G$200,"Большой сайт")&amp;" · портал "&amp;COUNTIFS(Выдача!$A$2:$A$200,"гальваническое золочение",Выдача!$G$2:$G$200,"Портал / форум / вики")</f>
        <v/>
      </c>
      <c r="L19" s="4" t="inlineStr">
        <is>
          <t>Коммерческая: мини-сайты</t>
        </is>
      </c>
      <c r="M19" s="4" t="inlineStr">
        <is>
          <t>Почти весь топ — мини-сайты, у mademetall и funchrome в выдаче главная страница. Узкий сайт конкурентен.</t>
        </is>
      </c>
      <c r="N19" s="4" t="inlineStr">
        <is>
          <t>гальваническое золочение 150, золочение 100</t>
        </is>
      </c>
      <c r="O19" s="4" t="inlineStr"/>
    </row>
    <row r="20" ht="27" customHeight="1">
      <c r="A20" s="10" t="inlineStr">
        <is>
          <t>P2</t>
        </is>
      </c>
      <c r="B20" s="3" t="n">
        <v>2</v>
      </c>
      <c r="C20" s="4" t="inlineStr">
        <is>
          <t>Кадмирование (бцв, хр)</t>
        </is>
      </c>
      <c r="D20" s="8" t="inlineStr">
        <is>
          <t>Нет</t>
        </is>
      </c>
      <c r="E20" s="4" t="inlineStr">
        <is>
          <t>—</t>
        </is>
      </c>
      <c r="F20" s="4" t="inlineStr">
        <is>
          <t>Новая страница</t>
        </is>
      </c>
      <c r="G20" s="4" t="inlineStr">
        <is>
          <t>/uslugi/galvanicheskie-pokrytiya/kadmirovanie/</t>
        </is>
      </c>
      <c r="H20" s="4" t="inlineStr">
        <is>
          <t>кадмирование — 200</t>
        </is>
      </c>
      <c r="I20" s="6">
        <f>SUMIFS(Запросы!$C$2:$C$109,Запросы!$A$2:$A$109,B20)</f>
        <v/>
      </c>
      <c r="J20" s="9" t="inlineStr">
        <is>
          <t>Отдельный сайт гальваники</t>
        </is>
      </c>
      <c r="K20" s="4">
        <f>"«кадмирование»: мини "&amp;COUNTIFS(Выдача!$A$2:$A$200,"кадмирование",Выдача!$G$2:$G$200,"Мини-сайт")&amp;" · средн. "&amp;COUNTIFS(Выдача!$A$2:$A$200,"кадмирование",Выдача!$G$2:$G$200,"Средний сайт")&amp;" · больш. "&amp;COUNTIFS(Выдача!$A$2:$A$200,"кадмирование",Выдача!$G$2:$G$200,"Большой сайт")&amp;" · портал "&amp;COUNTIFS(Выдача!$A$2:$A$200,"кадмирование",Выдача!$G$2:$G$200,"Портал / форум / вики")</f>
        <v/>
      </c>
      <c r="L20" s="4" t="inlineStr">
        <is>
          <t>Коммерческая: мини-сайты гальваник</t>
        </is>
      </c>
      <c r="M20" s="4" t="inlineStr">
        <is>
          <t>Википедия + мини-сайты гальваник (galvan.ru, npkhrom, plast-product). Сюда же № 21, 22, 24.</t>
        </is>
      </c>
      <c r="N20" s="4" t="inlineStr">
        <is>
          <t>кадмирование 200, кадмирование деталей 30</t>
        </is>
      </c>
      <c r="O20" s="4" t="inlineStr">
        <is>
          <t>Разделами на этой странице: № 21, 22, 24</t>
        </is>
      </c>
    </row>
    <row r="21" ht="27" customHeight="1">
      <c r="A21" s="12" t="inlineStr">
        <is>
          <t>P3</t>
        </is>
      </c>
      <c r="B21" s="3" t="n">
        <v>15</v>
      </c>
      <c r="C21" s="4" t="inlineStr">
        <is>
          <t>Хим. оксидирование алюминия (электропроводное)</t>
        </is>
      </c>
      <c r="D21" s="8" t="inlineStr">
        <is>
          <t>Нет</t>
        </is>
      </c>
      <c r="E21" s="4" t="inlineStr">
        <is>
          <t>—</t>
        </is>
      </c>
      <c r="F21" s="4" t="inlineStr">
        <is>
          <t>Раздел на странице № 10</t>
        </is>
      </c>
      <c r="G21" s="4" t="inlineStr">
        <is>
          <t>—</t>
        </is>
      </c>
      <c r="H21" s="4" t="inlineStr">
        <is>
          <t>хроматирование — 80</t>
        </is>
      </c>
      <c r="I21" s="6">
        <f>SUMIFS(Запросы!$C$2:$C$109,Запросы!$A$2:$A$109,B21)</f>
        <v/>
      </c>
      <c r="J21" s="13" t="inlineStr">
        <is>
          <t>Раздел на другой странице</t>
        </is>
      </c>
      <c r="K21" s="4">
        <f>"«химическое оксидирование алюминия»: мини "&amp;COUNTIFS(Выдача!$A$2:$A$200,"химическое оксидирование алюминия",Выдача!$G$2:$G$200,"Мини-сайт")&amp;" · средн. "&amp;COUNTIFS(Выдача!$A$2:$A$200,"химическое оксидирование алюминия",Выдача!$G$2:$G$200,"Средний сайт")&amp;" · больш. "&amp;COUNTIFS(Выдача!$A$2:$A$200,"химическое оксидирование алюминия",Выдача!$G$2:$G$200,"Большой сайт")&amp;" · портал "&amp;COUNTIFS(Выдача!$A$2:$A$200,"химическое оксидирование алюминия",Выдача!$G$2:$G$200,"Портал / форум / вики")</f>
        <v/>
      </c>
      <c r="L21" s="4" t="inlineStr">
        <is>
          <t>Информационная: справочники, PDF</t>
        </is>
      </c>
      <c r="M21" s="4" t="inlineStr">
        <is>
          <t>Справочники и учебные PDF — отдельная страница не нужна, раздел на странице № 10.</t>
        </is>
      </c>
      <c r="N21" s="4" t="inlineStr">
        <is>
          <t>хроматирование 80, химическое оксидирование алюминия 40, хроматирование алюминия 10</t>
        </is>
      </c>
      <c r="O21" s="4" t="inlineStr"/>
    </row>
    <row r="22" ht="27" customHeight="1">
      <c r="A22" s="12" t="inlineStr">
        <is>
          <t>P3</t>
        </is>
      </c>
      <c r="B22" s="3" t="n">
        <v>28</v>
      </c>
      <c r="C22" s="4" t="inlineStr">
        <is>
          <t>Шлифовка круглая</t>
        </is>
      </c>
      <c r="D22" s="8" t="inlineStr">
        <is>
          <t>Нет</t>
        </is>
      </c>
      <c r="E22" s="4" t="inlineStr">
        <is>
          <t>—</t>
        </is>
      </c>
      <c r="F22" s="4" t="inlineStr">
        <is>
          <t>Новая страница</t>
        </is>
      </c>
      <c r="G22" s="4" t="inlineStr">
        <is>
          <t>/uslugi/kruglaya-shlifovka/</t>
        </is>
      </c>
      <c r="H22" s="4" t="inlineStr">
        <is>
          <t>круглая шлифовка — 60</t>
        </is>
      </c>
      <c r="I22" s="6">
        <f>SUMIFS(Запросы!$C$2:$C$109,Запросы!$A$2:$A$109,B22)</f>
        <v/>
      </c>
      <c r="J22" s="7" t="inlineStr">
        <is>
          <t>Страница на нашем сайте</t>
        </is>
      </c>
      <c r="K22" s="4">
        <f>"«круглая шлифовка»: мини "&amp;COUNTIFS(Выдача!$A$2:$A$200,"круглая шлифовка",Выдача!$G$2:$G$200,"Мини-сайт")&amp;" · средн. "&amp;COUNTIFS(Выдача!$A$2:$A$200,"круглая шлифовка",Выдача!$G$2:$G$200,"Средний сайт")&amp;" · больш. "&amp;COUNTIFS(Выдача!$A$2:$A$200,"круглая шлифовка",Выдача!$G$2:$G$200,"Большой сайт")&amp;" · портал "&amp;COUNTIFS(Выдача!$A$2:$A$200,"круглая шлифовка",Выдача!$G$2:$G$200,"Портал / форум / вики")</f>
        <v/>
      </c>
      <c r="L22" s="4" t="inlineStr">
        <is>
          <t>Коммерческая: небольшие заводы мехобработки</t>
        </is>
      </c>
      <c r="M22" s="4" t="inlineStr">
        <is>
          <t>Мини- и средние сайты мехобработки (cometal — главная, profbau, zavkon). Делать, только если услуга реально есть.</t>
        </is>
      </c>
      <c r="N22" s="4" t="inlineStr">
        <is>
          <t>круглая шлифовка 60, круглое шлифование 40, круглошлифовальные работы 20</t>
        </is>
      </c>
      <c r="O22" s="4" t="inlineStr"/>
    </row>
    <row r="23" ht="27" customHeight="1">
      <c r="A23" s="12" t="inlineStr">
        <is>
          <t>P3</t>
        </is>
      </c>
      <c r="B23" s="3" t="n">
        <v>5</v>
      </c>
      <c r="C23" s="4" t="inlineStr">
        <is>
          <t>Химическое никелирование</t>
        </is>
      </c>
      <c r="D23" s="8" t="inlineStr">
        <is>
          <t>Нет</t>
        </is>
      </c>
      <c r="E23" s="4" t="inlineStr">
        <is>
          <t>—</t>
        </is>
      </c>
      <c r="F23" s="4" t="inlineStr">
        <is>
          <t>Раздел на странице № 4</t>
        </is>
      </c>
      <c r="G23" s="4" t="inlineStr">
        <is>
          <t>—</t>
        </is>
      </c>
      <c r="H23" s="4" t="inlineStr">
        <is>
          <t>химическое никелирование — 100</t>
        </is>
      </c>
      <c r="I23" s="6">
        <f>SUMIFS(Запросы!$C$2:$C$109,Запросы!$A$2:$A$109,B23)</f>
        <v/>
      </c>
      <c r="J23" s="13" t="inlineStr">
        <is>
          <t>Раздел на другой странице</t>
        </is>
      </c>
      <c r="K23" s="4">
        <f>"«химическое никелирование»: мини "&amp;COUNTIFS(Выдача!$A$2:$A$200,"химическое никелирование",Выдача!$G$2:$G$200,"Мини-сайт")&amp;" · средн. "&amp;COUNTIFS(Выдача!$A$2:$A$200,"химическое никелирование",Выдача!$G$2:$G$200,"Средний сайт")&amp;" · больш. "&amp;COUNTIFS(Выдача!$A$2:$A$200,"химическое никелирование",Выдача!$G$2:$G$200,"Большой сайт")&amp;" · портал "&amp;COUNTIFS(Выдача!$A$2:$A$200,"химическое никелирование",Выдача!$G$2:$G$200,"Портал / форум / вики")</f>
        <v/>
      </c>
      <c r="L23" s="4" t="inlineStr">
        <is>
          <t>Смешанная: гальваники + статьи и монографии</t>
        </is>
      </c>
      <c r="M23" s="4" t="inlineStr">
        <is>
          <t>zctc на 1-м месте, дальше статьи и монографии — раздел на странице № 4.</t>
        </is>
      </c>
      <c r="N23" s="4" t="inlineStr">
        <is>
          <t>химическое никелирование 100</t>
        </is>
      </c>
      <c r="O23" s="4" t="inlineStr"/>
    </row>
    <row r="24" ht="27" customHeight="1">
      <c r="A24" s="12" t="inlineStr">
        <is>
          <t>P3</t>
        </is>
      </c>
      <c r="B24" s="3" t="n">
        <v>17</v>
      </c>
      <c r="C24" s="4" t="inlineStr">
        <is>
          <t>Олово-висмут (матовое)</t>
        </is>
      </c>
      <c r="D24" s="8" t="inlineStr">
        <is>
          <t>Нет</t>
        </is>
      </c>
      <c r="E24" s="4" t="inlineStr">
        <is>
          <t>—</t>
        </is>
      </c>
      <c r="F24" s="4" t="inlineStr">
        <is>
          <t>Раздел на странице № 16</t>
        </is>
      </c>
      <c r="G24" s="4" t="inlineStr">
        <is>
          <t>—</t>
        </is>
      </c>
      <c r="H24" s="4" t="inlineStr">
        <is>
          <t>покрытие олово-висмут — 40</t>
        </is>
      </c>
      <c r="I24" s="6">
        <f>SUMIFS(Запросы!$C$2:$C$109,Запросы!$A$2:$A$109,B24)</f>
        <v/>
      </c>
      <c r="J24" s="13" t="inlineStr">
        <is>
          <t>Раздел на другой странице</t>
        </is>
      </c>
      <c r="K24" s="4">
        <f>"«покрытие олово-висмут»: мини "&amp;COUNTIFS(Выдача!$A$2:$A$200,"покрытие олово-висмут",Выдача!$G$2:$G$200,"Мини-сайт")&amp;" · средн. "&amp;COUNTIFS(Выдача!$A$2:$A$200,"покрытие олово-висмут",Выдача!$G$2:$G$200,"Средний сайт")&amp;" · больш. "&amp;COUNTIFS(Выдача!$A$2:$A$200,"покрытие олово-висмут",Выдача!$G$2:$G$200,"Большой сайт")&amp;" · портал "&amp;COUNTIFS(Выдача!$A$2:$A$200,"покрытие олово-висмут",Выдача!$G$2:$G$200,"Портал / форум / вики")</f>
        <v/>
      </c>
      <c r="L24" s="4" t="inlineStr">
        <is>
          <t>Коммерческая: мини-сайты</t>
        </is>
      </c>
      <c r="M24" s="4" t="inlineStr">
        <is>
          <t>Мини-сайты гальваник и форум; спрос маленький — раздел на странице № 16.</t>
        </is>
      </c>
      <c r="N24" s="4" t="inlineStr">
        <is>
          <t>покрытие олово-висмут 40, олово висмут покрытие 40</t>
        </is>
      </c>
      <c r="O24" s="4" t="inlineStr"/>
    </row>
    <row r="25" ht="27" customHeight="1">
      <c r="A25" s="12" t="inlineStr">
        <is>
          <t>P3</t>
        </is>
      </c>
      <c r="B25" s="3" t="n">
        <v>11</v>
      </c>
      <c r="C25" s="4" t="inlineStr">
        <is>
          <t>Твёрдое анодирование 20–40 и 40–60 мкм</t>
        </is>
      </c>
      <c r="D25" s="8" t="inlineStr">
        <is>
          <t>Нет</t>
        </is>
      </c>
      <c r="E25" s="4" t="inlineStr">
        <is>
          <t>—</t>
        </is>
      </c>
      <c r="F25" s="4" t="inlineStr">
        <is>
          <t>Раздел на странице № 10</t>
        </is>
      </c>
      <c r="G25" s="4" t="inlineStr">
        <is>
          <t>—</t>
        </is>
      </c>
      <c r="H25" s="4" t="inlineStr">
        <is>
          <t>твердое анодирование алюминия — 40</t>
        </is>
      </c>
      <c r="I25" s="6">
        <f>SUMIFS(Запросы!$C$2:$C$109,Запросы!$A$2:$A$109,B25)</f>
        <v/>
      </c>
      <c r="J25" s="13" t="inlineStr">
        <is>
          <t>Раздел на другой странице</t>
        </is>
      </c>
      <c r="K25" s="4" t="inlineStr">
        <is>
          <t>нет данных</t>
        </is>
      </c>
      <c r="L25" s="4" t="inlineStr">
        <is>
          <t>Нет данных в Ahrefs</t>
        </is>
      </c>
      <c r="M25" s="4" t="inlineStr">
        <is>
          <t>Выдачи в Ahrefs нет — раздел на странице № 10.</t>
        </is>
      </c>
      <c r="N25" s="4" t="inlineStr">
        <is>
          <t>твердое анодирование алюминия 40, твердое анодирование 20</t>
        </is>
      </c>
      <c r="O25" s="4" t="inlineStr"/>
    </row>
    <row r="26" ht="27" customHeight="1">
      <c r="A26" s="12" t="inlineStr">
        <is>
          <t>P3</t>
        </is>
      </c>
      <c r="B26" s="3" t="n">
        <v>13</v>
      </c>
      <c r="C26" s="4" t="inlineStr">
        <is>
          <t>Эматалирование</t>
        </is>
      </c>
      <c r="D26" s="8" t="inlineStr">
        <is>
          <t>Нет</t>
        </is>
      </c>
      <c r="E26" s="4" t="inlineStr">
        <is>
          <t>—</t>
        </is>
      </c>
      <c r="F26" s="4" t="inlineStr">
        <is>
          <t>Раздел на странице № 10</t>
        </is>
      </c>
      <c r="G26" s="4" t="inlineStr">
        <is>
          <t>—</t>
        </is>
      </c>
      <c r="H26" s="4" t="inlineStr">
        <is>
          <t>эматалирование — 10</t>
        </is>
      </c>
      <c r="I26" s="6">
        <f>SUMIFS(Запросы!$C$2:$C$109,Запросы!$A$2:$A$109,B26)</f>
        <v/>
      </c>
      <c r="J26" s="13" t="inlineStr">
        <is>
          <t>Раздел на другой странице</t>
        </is>
      </c>
      <c r="K26" s="4" t="inlineStr">
        <is>
          <t>нет данных</t>
        </is>
      </c>
      <c r="L26" s="4" t="inlineStr">
        <is>
          <t>Нет данных в Ahrefs</t>
        </is>
      </c>
      <c r="M26" s="4" t="inlineStr">
        <is>
          <t>Выдачи в Ahrefs нет — раздел на странице № 10.</t>
        </is>
      </c>
      <c r="N26" s="4" t="inlineStr">
        <is>
          <t>эматалирование 10</t>
        </is>
      </c>
      <c r="O26" s="4" t="inlineStr"/>
    </row>
    <row r="27" ht="27" customHeight="1">
      <c r="A27" s="12" t="inlineStr">
        <is>
          <t>P3</t>
        </is>
      </c>
      <c r="B27" s="3" t="n">
        <v>14</v>
      </c>
      <c r="C27" s="4" t="inlineStr">
        <is>
          <t>Анодирование хромовое</t>
        </is>
      </c>
      <c r="D27" s="8" t="inlineStr">
        <is>
          <t>Нет</t>
        </is>
      </c>
      <c r="E27" s="4" t="inlineStr">
        <is>
          <t>—</t>
        </is>
      </c>
      <c r="F27" s="4" t="inlineStr">
        <is>
          <t>Раздел на странице № 10</t>
        </is>
      </c>
      <c r="G27" s="4" t="inlineStr">
        <is>
          <t>—</t>
        </is>
      </c>
      <c r="H27" s="4" t="inlineStr">
        <is>
          <t>нет данных</t>
        </is>
      </c>
      <c r="I27" s="6">
        <f>SUMIFS(Запросы!$C$2:$C$109,Запросы!$A$2:$A$109,B27)</f>
        <v/>
      </c>
      <c r="J27" s="13" t="inlineStr">
        <is>
          <t>Раздел на другой странице</t>
        </is>
      </c>
      <c r="K27" s="4" t="inlineStr">
        <is>
          <t>—</t>
        </is>
      </c>
      <c r="L27" s="4" t="inlineStr">
        <is>
          <t>Не проверялось: спроса нет</t>
        </is>
      </c>
      <c r="M27" s="4" t="inlineStr">
        <is>
          <t>Раздел на странице № 10.</t>
        </is>
      </c>
      <c r="N27" s="4" t="inlineStr">
        <is>
          <t>—</t>
        </is>
      </c>
      <c r="O27" s="4" t="inlineStr">
        <is>
          <t>В Ahrefs данных нет</t>
        </is>
      </c>
    </row>
    <row r="28" ht="27" customHeight="1">
      <c r="A28" s="12" t="inlineStr">
        <is>
          <t>P3</t>
        </is>
      </c>
      <c r="B28" s="3" t="n">
        <v>7</v>
      </c>
      <c r="C28" s="4" t="inlineStr">
        <is>
          <t>Электроплазменная полировка</t>
        </is>
      </c>
      <c r="D28" s="8" t="inlineStr">
        <is>
          <t>Нет</t>
        </is>
      </c>
      <c r="E28" s="4" t="inlineStr">
        <is>
          <t>—</t>
        </is>
      </c>
      <c r="F28" s="4" t="inlineStr">
        <is>
          <t>Раздел на странице № 6</t>
        </is>
      </c>
      <c r="G28" s="4" t="inlineStr">
        <is>
          <t>—</t>
        </is>
      </c>
      <c r="H28" s="4" t="inlineStr">
        <is>
          <t>электроплазменная полировка — 0</t>
        </is>
      </c>
      <c r="I28" s="6">
        <f>SUMIFS(Запросы!$C$2:$C$109,Запросы!$A$2:$A$109,B28)</f>
        <v/>
      </c>
      <c r="J28" s="13" t="inlineStr">
        <is>
          <t>Раздел на другой странице</t>
        </is>
      </c>
      <c r="K28" s="4" t="inlineStr">
        <is>
          <t>—</t>
        </is>
      </c>
      <c r="L28" s="4" t="inlineStr">
        <is>
          <t>Не проверялось: спроса нет</t>
        </is>
      </c>
      <c r="M28" s="4" t="inlineStr">
        <is>
          <t>Раздел на странице № 6.</t>
        </is>
      </c>
      <c r="N28" s="4" t="inlineStr">
        <is>
          <t>электроплазменная полировка 0, плазменная полировка 0</t>
        </is>
      </c>
      <c r="O28" s="4" t="inlineStr">
        <is>
          <t>В Google спроса нет — проверить в Wordstat</t>
        </is>
      </c>
    </row>
    <row r="29" ht="27" customHeight="1">
      <c r="A29" s="12" t="inlineStr">
        <is>
          <t>P3</t>
        </is>
      </c>
      <c r="B29" s="3" t="n">
        <v>22</v>
      </c>
      <c r="C29" s="4" t="inlineStr">
        <is>
          <t>Кадмирование фосфатированное</t>
        </is>
      </c>
      <c r="D29" s="8" t="inlineStr">
        <is>
          <t>Нет</t>
        </is>
      </c>
      <c r="E29" s="4" t="inlineStr">
        <is>
          <t>—</t>
        </is>
      </c>
      <c r="F29" s="4" t="inlineStr">
        <is>
          <t>Раздел на странице № 2</t>
        </is>
      </c>
      <c r="G29" s="4" t="inlineStr">
        <is>
          <t>—</t>
        </is>
      </c>
      <c r="H29" s="4" t="inlineStr">
        <is>
          <t>кадмирование с фосфатированием — 0</t>
        </is>
      </c>
      <c r="I29" s="6">
        <f>SUMIFS(Запросы!$C$2:$C$109,Запросы!$A$2:$A$109,B29)</f>
        <v/>
      </c>
      <c r="J29" s="13" t="inlineStr">
        <is>
          <t>Раздел на другой странице</t>
        </is>
      </c>
      <c r="K29" s="4">
        <f>"«кадмирование»: мини "&amp;COUNTIFS(Выдача!$A$2:$A$200,"кадмирование",Выдача!$G$2:$G$200,"Мини-сайт")&amp;" · средн. "&amp;COUNTIFS(Выдача!$A$2:$A$200,"кадмирование",Выдача!$G$2:$G$200,"Средний сайт")&amp;" · больш. "&amp;COUNTIFS(Выдача!$A$2:$A$200,"кадмирование",Выдача!$G$2:$G$200,"Большой сайт")&amp;" · портал "&amp;COUNTIFS(Выдача!$A$2:$A$200,"кадмирование",Выдача!$G$2:$G$200,"Портал / форум / вики")</f>
        <v/>
      </c>
      <c r="L29" s="4" t="inlineStr">
        <is>
          <t>См. № 2</t>
        </is>
      </c>
      <c r="M29" s="4" t="inlineStr">
        <is>
          <t>Раздел на странице № 2.</t>
        </is>
      </c>
      <c r="N29" s="4" t="inlineStr">
        <is>
          <t>кадмирование с фосфатированием 0</t>
        </is>
      </c>
      <c r="O29" s="4" t="inlineStr"/>
    </row>
    <row r="30" ht="27" customHeight="1">
      <c r="A30" s="12" t="inlineStr">
        <is>
          <t>P3</t>
        </is>
      </c>
      <c r="B30" s="3" t="n">
        <v>24</v>
      </c>
      <c r="C30" s="4" t="inlineStr">
        <is>
          <t>Кадмирование фосфатированное с оксидированием</t>
        </is>
      </c>
      <c r="D30" s="8" t="inlineStr">
        <is>
          <t>Нет</t>
        </is>
      </c>
      <c r="E30" s="4" t="inlineStr">
        <is>
          <t>—</t>
        </is>
      </c>
      <c r="F30" s="4" t="inlineStr">
        <is>
          <t>Раздел на странице № 2</t>
        </is>
      </c>
      <c r="G30" s="4" t="inlineStr">
        <is>
          <t>—</t>
        </is>
      </c>
      <c r="H30" s="4" t="inlineStr">
        <is>
          <t>нет данных</t>
        </is>
      </c>
      <c r="I30" s="6">
        <f>SUMIFS(Запросы!$C$2:$C$109,Запросы!$A$2:$A$109,B30)</f>
        <v/>
      </c>
      <c r="J30" s="13" t="inlineStr">
        <is>
          <t>Раздел на другой странице</t>
        </is>
      </c>
      <c r="K30" s="4">
        <f>"«кадмирование»: мини "&amp;COUNTIFS(Выдача!$A$2:$A$200,"кадмирование",Выдача!$G$2:$G$200,"Мини-сайт")&amp;" · средн. "&amp;COUNTIFS(Выдача!$A$2:$A$200,"кадмирование",Выдача!$G$2:$G$200,"Средний сайт")&amp;" · больш. "&amp;COUNTIFS(Выдача!$A$2:$A$200,"кадмирование",Выдача!$G$2:$G$200,"Большой сайт")&amp;" · портал "&amp;COUNTIFS(Выдача!$A$2:$A$200,"кадмирование",Выдача!$G$2:$G$200,"Портал / форум / вики")</f>
        <v/>
      </c>
      <c r="L30" s="4" t="inlineStr">
        <is>
          <t>См. № 2</t>
        </is>
      </c>
      <c r="M30" s="4" t="inlineStr">
        <is>
          <t>Раздел на странице № 2.</t>
        </is>
      </c>
      <c r="N30" s="4" t="inlineStr">
        <is>
          <t>—</t>
        </is>
      </c>
      <c r="O30" s="4" t="inlineStr">
        <is>
          <t>В Ahrefs данных нет</t>
        </is>
      </c>
    </row>
    <row r="31" ht="27" customHeight="1">
      <c r="A31" s="12" t="inlineStr">
        <is>
          <t>P3</t>
        </is>
      </c>
      <c r="B31" s="3" t="n">
        <v>26</v>
      </c>
      <c r="C31" s="4" t="inlineStr">
        <is>
          <t>Свинцевание</t>
        </is>
      </c>
      <c r="D31" s="8" t="inlineStr">
        <is>
          <t>Нет</t>
        </is>
      </c>
      <c r="E31" s="4" t="inlineStr">
        <is>
          <t>—</t>
        </is>
      </c>
      <c r="F31" s="4" t="inlineStr">
        <is>
          <t>Строка на странице-хабе</t>
        </is>
      </c>
      <c r="G31" s="4" t="inlineStr">
        <is>
          <t>—</t>
        </is>
      </c>
      <c r="H31" s="4" t="inlineStr">
        <is>
          <t>свинцевание — 0</t>
        </is>
      </c>
      <c r="I31" s="6">
        <f>SUMIFS(Запросы!$C$2:$C$109,Запросы!$A$2:$A$109,B31)</f>
        <v/>
      </c>
      <c r="J31" s="13" t="inlineStr">
        <is>
          <t>Раздел на другой странице</t>
        </is>
      </c>
      <c r="K31" s="4" t="inlineStr">
        <is>
          <t>—</t>
        </is>
      </c>
      <c r="L31" s="4" t="inlineStr">
        <is>
          <t>Не проверялось: спроса нет</t>
        </is>
      </c>
      <c r="M31" s="4" t="inlineStr">
        <is>
          <t>Строка на странице-хабе гальваники.</t>
        </is>
      </c>
      <c r="N31" s="4" t="inlineStr">
        <is>
          <t>свинцевание 0</t>
        </is>
      </c>
      <c r="O31" s="4" t="inlineStr"/>
    </row>
    <row r="32" ht="27" customHeight="1">
      <c r="A32" s="12" t="inlineStr">
        <is>
          <t>P3</t>
        </is>
      </c>
      <c r="B32" s="3" t="n">
        <v>21</v>
      </c>
      <c r="C32" s="4" t="inlineStr">
        <is>
          <t>Кадмирование (повтор № 2)</t>
        </is>
      </c>
      <c r="D32" s="3" t="inlineStr">
        <is>
          <t>—</t>
        </is>
      </c>
      <c r="E32" s="4" t="inlineStr">
        <is>
          <t>—</t>
        </is>
      </c>
      <c r="F32" s="4" t="inlineStr">
        <is>
          <t>Входит в страницу № 2</t>
        </is>
      </c>
      <c r="G32" s="4" t="inlineStr">
        <is>
          <t>—</t>
        </is>
      </c>
      <c r="H32" s="4" t="inlineStr">
        <is>
          <t>нет данных</t>
        </is>
      </c>
      <c r="I32" s="6">
        <f>SUMIFS(Запросы!$C$2:$C$109,Запросы!$A$2:$A$109,B32)</f>
        <v/>
      </c>
      <c r="J32" s="13" t="inlineStr">
        <is>
          <t>Раздел на другой странице</t>
        </is>
      </c>
      <c r="K32" s="4" t="inlineStr">
        <is>
          <t>—</t>
        </is>
      </c>
      <c r="L32" s="4" t="inlineStr">
        <is>
          <t>—</t>
        </is>
      </c>
      <c r="M32" s="4" t="inlineStr">
        <is>
          <t>Дубль № 2 в списке клиента.</t>
        </is>
      </c>
      <c r="N32" s="4" t="inlineStr">
        <is>
          <t>—</t>
        </is>
      </c>
      <c r="O32" s="4" t="inlineStr">
        <is>
          <t>В списке клиента дублирует № 2</t>
        </is>
      </c>
    </row>
    <row r="33">
      <c r="C33" s="14" t="n"/>
      <c r="F33" s="15" t="n"/>
    </row>
    <row r="34">
      <c r="C34" s="14" t="inlineStr">
        <is>
          <t>Страница на нашем сайте</t>
        </is>
      </c>
      <c r="F34" s="15">
        <f>COUNTIF($J$2:$J$32,"Страница на нашем сайте")</f>
        <v/>
      </c>
    </row>
    <row r="35">
      <c r="C35" s="14" t="inlineStr">
        <is>
          <t>Отдельный сайт гальваники (страниц)</t>
        </is>
      </c>
      <c r="F35" s="15">
        <f>COUNTIF($J$2:$J$32,"Отдельный сайт гальваники")</f>
        <v/>
      </c>
    </row>
    <row r="36">
      <c r="C36" s="14" t="inlineStr">
        <is>
          <t>Раздел на другой странице</t>
        </is>
      </c>
      <c r="F36" s="15">
        <f>COUNTIF($J$2:$J$32,"Раздел на другой странице")</f>
        <v/>
      </c>
    </row>
    <row r="37">
      <c r="C37" s="14" t="inlineStr">
        <is>
          <t>Уточнить у клиента</t>
        </is>
      </c>
      <c r="F37" s="15">
        <f>COUNTIF($J$2:$J$32,"Уточнить у клиента")</f>
        <v/>
      </c>
    </row>
    <row r="38">
      <c r="C38" s="14" t="inlineStr">
        <is>
          <t>Позиций в выдаче: мини-сайты</t>
        </is>
      </c>
      <c r="F38" s="15">
        <f>COUNTIF(Выдача!$G$2:$G$200,"Мини-сайт")</f>
        <v/>
      </c>
    </row>
    <row r="39">
      <c r="C39" s="14" t="inlineStr">
        <is>
          <t>Позиций в выдаче: средние сайты</t>
        </is>
      </c>
      <c r="F39" s="15">
        <f>COUNTIF(Выдача!$G$2:$G$200,"Средний сайт")</f>
        <v/>
      </c>
    </row>
    <row r="40">
      <c r="C40" s="14" t="inlineStr">
        <is>
          <t>Позиций в выдаче: большие сайты</t>
        </is>
      </c>
      <c r="F40" s="15">
        <f>COUNTIF(Выдача!$G$2:$G$200,"Большой сайт")</f>
        <v/>
      </c>
    </row>
    <row r="41">
      <c r="C41" s="14" t="inlineStr">
        <is>
          <t>Позиций в выдаче: порталы / форумы / вики</t>
        </is>
      </c>
      <c r="F41" s="15">
        <f>COUNTIF(Выдача!$G$2:$G$200,"Портал / форум / вики")</f>
        <v/>
      </c>
    </row>
    <row r="42">
      <c r="C42" t="inlineStr">
        <is>
          <t>Сколько раз zctc.ru в топ-10</t>
        </is>
      </c>
      <c r="F42">
        <f>COUNTIF(Выдача!$D$2:$D$200,"zctc.ru")</f>
        <v/>
      </c>
    </row>
    <row r="43">
      <c r="C43" s="16" t="n"/>
    </row>
    <row r="44">
      <c r="C44" s="16" t="inlineStr">
        <is>
          <t>Выдача: Ahrefs SERP Overview, Google, Россия, топ-10 органики, 15.09.2026. Яндекс и регион «Нижний Новгород» не учтены — выдача Яндекса может отличаться, для P1 её стоит проверить.</t>
        </is>
      </c>
    </row>
    <row r="45">
      <c r="C45" s="16" t="inlineStr">
        <is>
          <t>Тип сайта — по числу запросов, по которым сайт виден в Google RU (Ahrefs): до 150 — мини-сайт, 150–1000 — средний, больше 1000 — большой. Порталы, форумы, Википедия, маркетплейсы и учебные PDF — отдельно.</t>
        </is>
      </c>
    </row>
    <row r="46">
      <c r="C46" s="16" t="inlineStr">
        <is>
          <t>«Кто в топ-10» и итоги считаются формулами по листу «Выдача»; «Где делать» и «Вывод» — экспертная оценка по выдаче.</t>
        </is>
      </c>
    </row>
    <row r="47">
      <c r="C47" s="16" t="inlineStr">
        <is>
          <t>Логика выбора: услуги по нержавейке и металлообработке (резка, пассивация, ЭХП, шлифовка) — страницы на нашем сайте; гальванические покрытия — один отдельный многостраничный сайт, по образцу zctc.ru (≈550 запросов; сколько раз он в топ-10 — см. итог выше).</t>
        </is>
      </c>
    </row>
    <row r="48">
      <c r="C48" s="16" t="inlineStr">
        <is>
          <t>«Кто в топ-10» учитывает 4 типа сайтов; сайт без данных Ahrefs (гальванопластика.рф в выдаче «химическое оксидирование алюминия») в эти числа не входит.</t>
        </is>
      </c>
    </row>
    <row r="49">
      <c r="C49" t="inlineStr">
        <is>
          <t>Цвета «Где делать»: голубой — наш сайт, сиреневый — отдельный сайт гальваники, серый — раздел на другой странице, жёлтый — уточнить.</t>
        </is>
      </c>
    </row>
  </sheetData>
  <autoFilter ref="A1:O3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00"/>
  <sheetViews>
    <sheetView workbookViewId="0">
      <pane ySplit="1" topLeftCell="A2" activePane="bottomLeft" state="frozen"/>
      <selection pane="bottomLeft" activeCell="A1" sqref="A1"/>
    </sheetView>
  </sheetViews>
  <sheetFormatPr baseColWidth="8" defaultRowHeight="15"/>
  <cols>
    <col width="30" customWidth="1" min="1" max="1"/>
    <col width="9" customWidth="1" min="2" max="2"/>
    <col width="70" customWidth="1" min="3" max="3"/>
    <col width="24" customWidth="1" min="4" max="4"/>
    <col width="9" customWidth="1" min="5" max="5"/>
    <col width="16" customWidth="1" min="6" max="6"/>
    <col width="20" customWidth="1" min="7" max="7"/>
    <col width="24" customWidth="1" min="8" max="8"/>
  </cols>
  <sheetData>
    <row r="1" ht="32" customHeight="1">
      <c r="A1" s="1" t="inlineStr">
        <is>
          <t>Запрос</t>
        </is>
      </c>
      <c r="B1" s="1" t="inlineStr">
        <is>
          <t>Позиция</t>
        </is>
      </c>
      <c r="C1" s="1" t="inlineStr">
        <is>
          <t>Страница в выдаче</t>
        </is>
      </c>
      <c r="D1" s="1" t="inlineStr">
        <is>
          <t>Сайт</t>
        </is>
      </c>
      <c r="E1" s="1" t="inlineStr">
        <is>
          <t>DR сайта</t>
        </is>
      </c>
      <c r="F1" s="1" t="inlineStr">
        <is>
          <t>Запросов у сайта (Google RU)</t>
        </is>
      </c>
      <c r="G1" s="1" t="inlineStr">
        <is>
          <t>Тип сайта</t>
        </is>
      </c>
      <c r="H1" s="1" t="inlineStr">
        <is>
          <t>Тип страницы (по адресу, ориентировочно)</t>
        </is>
      </c>
    </row>
    <row r="2" ht="15" customHeight="1">
      <c r="A2" s="4" t="inlineStr">
        <is>
          <t>лазерная резка металла</t>
        </is>
      </c>
      <c r="B2" s="17" t="n">
        <v>2</v>
      </c>
      <c r="C2" s="4" t="inlineStr">
        <is>
          <t>https://lasercut.ru/Каталог/Станки</t>
        </is>
      </c>
      <c r="D2" s="18" t="inlineStr">
        <is>
          <t>lasercut.ru</t>
        </is>
      </c>
      <c r="E2" s="17" t="n">
        <v>39</v>
      </c>
      <c r="F2" s="19" t="n">
        <v>2331</v>
      </c>
      <c r="G2" s="20" t="inlineStr">
        <is>
          <t>Большой сайт</t>
        </is>
      </c>
      <c r="H2" s="18" t="inlineStr">
        <is>
          <t>Услуга / каталог</t>
        </is>
      </c>
    </row>
    <row r="3" ht="15" customHeight="1">
      <c r="A3" s="4" t="inlineStr">
        <is>
          <t>лазерная резка металла</t>
        </is>
      </c>
      <c r="B3" s="17" t="n">
        <v>3</v>
      </c>
      <c r="C3" s="4" t="inlineStr">
        <is>
          <t>https://www.ozon.ru/lazernaya-rezka-metalla-stanok</t>
        </is>
      </c>
      <c r="D3" s="18" t="inlineStr">
        <is>
          <t>ozon.ru</t>
        </is>
      </c>
      <c r="E3" s="17" t="n">
        <v>91</v>
      </c>
      <c r="F3" s="19" t="n"/>
      <c r="G3" s="21" t="inlineStr">
        <is>
          <t>Портал / форум / вики</t>
        </is>
      </c>
      <c r="H3" s="18" t="inlineStr">
        <is>
          <t>Услуга / каталог</t>
        </is>
      </c>
    </row>
    <row r="4" ht="15" customHeight="1">
      <c r="A4" s="4" t="inlineStr">
        <is>
          <t>лазерная резка металла</t>
        </is>
      </c>
      <c r="B4" s="17" t="n">
        <v>5</v>
      </c>
      <c r="C4" s="4" t="inlineStr">
        <is>
          <t>https://uptk65.ru/blog/chto-takoe-lazernaya-rezka</t>
        </is>
      </c>
      <c r="D4" s="18" t="inlineStr">
        <is>
          <t>uptk65.ru</t>
        </is>
      </c>
      <c r="E4" s="17" t="n">
        <v>23</v>
      </c>
      <c r="F4" s="19" t="n">
        <v>256</v>
      </c>
      <c r="G4" s="22" t="inlineStr">
        <is>
          <t>Средний сайт</t>
        </is>
      </c>
      <c r="H4" s="18" t="inlineStr">
        <is>
          <t>Статья / инфо</t>
        </is>
      </c>
    </row>
    <row r="5" ht="15" customHeight="1">
      <c r="A5" s="4" t="inlineStr">
        <is>
          <t>лазерная резка металла</t>
        </is>
      </c>
      <c r="B5" s="17" t="n">
        <v>6</v>
      </c>
      <c r="C5" s="4" t="inlineStr">
        <is>
          <t>https://mc24.ru/figurnaya-i-khudozhestvennaya</t>
        </is>
      </c>
      <c r="D5" s="18" t="inlineStr">
        <is>
          <t>mc24.ru</t>
        </is>
      </c>
      <c r="E5" s="17" t="n">
        <v>15</v>
      </c>
      <c r="F5" s="19" t="n">
        <v>222</v>
      </c>
      <c r="G5" s="22" t="inlineStr">
        <is>
          <t>Средний сайт</t>
        </is>
      </c>
      <c r="H5" s="18" t="inlineStr">
        <is>
          <t>Прочее</t>
        </is>
      </c>
    </row>
    <row r="6" ht="15" customHeight="1">
      <c r="A6" s="4" t="inlineStr">
        <is>
          <t>лазерная резка металла</t>
        </is>
      </c>
      <c r="B6" s="17" t="n">
        <v>7</v>
      </c>
      <c r="C6" s="4" t="inlineStr">
        <is>
          <t>https://premier-laser.ru/Блог</t>
        </is>
      </c>
      <c r="D6" s="18" t="inlineStr">
        <is>
          <t>premier-laser.ru</t>
        </is>
      </c>
      <c r="E6" s="17" t="n">
        <v>5</v>
      </c>
      <c r="F6" s="19" t="n">
        <v>207</v>
      </c>
      <c r="G6" s="22" t="inlineStr">
        <is>
          <t>Средний сайт</t>
        </is>
      </c>
      <c r="H6" s="18" t="inlineStr">
        <is>
          <t>Статья / инфо</t>
        </is>
      </c>
    </row>
    <row r="7" ht="15" customHeight="1">
      <c r="A7" s="4" t="inlineStr">
        <is>
          <t>лазерная резка металла</t>
        </is>
      </c>
      <c r="B7" s="17" t="n">
        <v>8</v>
      </c>
      <c r="C7" s="4" t="inlineStr">
        <is>
          <t>https://ru.wikipedia.org/wiki/Лазерная_резка</t>
        </is>
      </c>
      <c r="D7" s="18" t="inlineStr">
        <is>
          <t>ru.wikipedia.org</t>
        </is>
      </c>
      <c r="E7" s="17" t="n">
        <v>97</v>
      </c>
      <c r="F7" s="19" t="n"/>
      <c r="G7" s="21" t="inlineStr">
        <is>
          <t>Портал / форум / вики</t>
        </is>
      </c>
      <c r="H7" s="18" t="inlineStr">
        <is>
          <t>Статья / инфо</t>
        </is>
      </c>
    </row>
    <row r="8" ht="15" customHeight="1">
      <c r="A8" s="4" t="inlineStr">
        <is>
          <t>лазерная резка металла</t>
        </is>
      </c>
      <c r="B8" s="17" t="n">
        <v>9</v>
      </c>
      <c r="C8" s="4" t="inlineStr">
        <is>
          <t>https://altesa.ru/Каталог</t>
        </is>
      </c>
      <c r="D8" s="18" t="inlineStr">
        <is>
          <t>altesa.ru</t>
        </is>
      </c>
      <c r="E8" s="17" t="n">
        <v>11</v>
      </c>
      <c r="F8" s="19" t="n">
        <v>222</v>
      </c>
      <c r="G8" s="22" t="inlineStr">
        <is>
          <t>Средний сайт</t>
        </is>
      </c>
      <c r="H8" s="18" t="inlineStr">
        <is>
          <t>Услуга / каталог</t>
        </is>
      </c>
    </row>
    <row r="9" ht="15" customHeight="1">
      <c r="A9" s="4" t="inlineStr">
        <is>
          <t>лазерная резка металла</t>
        </is>
      </c>
      <c r="B9" s="17" t="n">
        <v>10</v>
      </c>
      <c r="C9" s="4" t="inlineStr">
        <is>
          <t>https://www.antaeus.ru/Статьи</t>
        </is>
      </c>
      <c r="D9" s="18" t="inlineStr">
        <is>
          <t>antaeus.ru</t>
        </is>
      </c>
      <c r="E9" s="17" t="n">
        <v>0.7</v>
      </c>
      <c r="F9" s="19" t="n">
        <v>64</v>
      </c>
      <c r="G9" s="23" t="inlineStr">
        <is>
          <t>Мини-сайт</t>
        </is>
      </c>
      <c r="H9" s="18" t="inlineStr">
        <is>
          <t>Статья / инфо</t>
        </is>
      </c>
    </row>
    <row r="10" ht="27" customHeight="1">
      <c r="A10" s="4" t="inlineStr">
        <is>
          <t>лазерная резка нержавейки</t>
        </is>
      </c>
      <c r="B10" s="17" t="n">
        <v>2</v>
      </c>
      <c r="C10" s="4" t="inlineStr">
        <is>
          <t>https://gravernu.ru/obrabotka-materialov/lazernaya-rezka/lazernaya-rezka-metallov/rezka-nerzhaveyushhej-stali</t>
        </is>
      </c>
      <c r="D10" s="18" t="inlineStr">
        <is>
          <t>gravernu.ru</t>
        </is>
      </c>
      <c r="E10" s="17" t="n">
        <v>2.2</v>
      </c>
      <c r="F10" s="19" t="n">
        <v>568</v>
      </c>
      <c r="G10" s="22" t="inlineStr">
        <is>
          <t>Средний сайт</t>
        </is>
      </c>
      <c r="H10" s="18" t="inlineStr">
        <is>
          <t>Услуга / каталог</t>
        </is>
      </c>
    </row>
    <row r="11" ht="15" customHeight="1">
      <c r="A11" s="4" t="inlineStr">
        <is>
          <t>лазерная резка нержавейки</t>
        </is>
      </c>
      <c r="B11" s="17" t="n">
        <v>3</v>
      </c>
      <c r="C11" s="4" t="inlineStr">
        <is>
          <t>https://promexcut.ru/lazernaya-rezka/nerzhavejushhaya-stal</t>
        </is>
      </c>
      <c r="D11" s="18" t="inlineStr">
        <is>
          <t>promexcut.ru</t>
        </is>
      </c>
      <c r="E11" s="17" t="n">
        <v>35</v>
      </c>
      <c r="F11" s="19" t="n">
        <v>558</v>
      </c>
      <c r="G11" s="22" t="inlineStr">
        <is>
          <t>Средний сайт</t>
        </is>
      </c>
      <c r="H11" s="18" t="inlineStr">
        <is>
          <t>Услуга / каталог</t>
        </is>
      </c>
    </row>
    <row r="12" ht="15" customHeight="1">
      <c r="A12" s="4" t="inlineStr">
        <is>
          <t>лазерная резка нержавейки</t>
        </is>
      </c>
      <c r="B12" s="17" t="n">
        <v>4</v>
      </c>
      <c r="C12" s="4" t="inlineStr">
        <is>
          <t>https://vt-metall.ru/articles/138-rezka-nerzhaveiki-laserom/</t>
        </is>
      </c>
      <c r="D12" s="18" t="inlineStr">
        <is>
          <t>vt-metall.ru</t>
        </is>
      </c>
      <c r="E12" s="17" t="n">
        <v>26</v>
      </c>
      <c r="F12" s="19" t="n">
        <v>1930</v>
      </c>
      <c r="G12" s="20" t="inlineStr">
        <is>
          <t>Большой сайт</t>
        </is>
      </c>
      <c r="H12" s="18" t="inlineStr">
        <is>
          <t>Статья / инфо</t>
        </is>
      </c>
    </row>
    <row r="13" ht="15" customHeight="1">
      <c r="A13" s="4" t="inlineStr">
        <is>
          <t>лазерная резка нержавейки</t>
        </is>
      </c>
      <c r="B13" s="17" t="n">
        <v>6</v>
      </c>
      <c r="C13" s="4" t="inlineStr">
        <is>
          <t>https://semtreugolnikov.ru/rezka-nerzhaveyushchej-stali</t>
        </is>
      </c>
      <c r="D13" s="18" t="inlineStr">
        <is>
          <t>semtreugolnikov.ru</t>
        </is>
      </c>
      <c r="E13" s="17" t="n">
        <v>2.4</v>
      </c>
      <c r="F13" s="19" t="n">
        <v>222</v>
      </c>
      <c r="G13" s="22" t="inlineStr">
        <is>
          <t>Средний сайт</t>
        </is>
      </c>
      <c r="H13" s="18" t="inlineStr">
        <is>
          <t>Услуга / каталог</t>
        </is>
      </c>
    </row>
    <row r="14" ht="27" customHeight="1">
      <c r="A14" s="4" t="inlineStr">
        <is>
          <t>лазерная резка нержавейки</t>
        </is>
      </c>
      <c r="B14" s="17" t="n">
        <v>7</v>
      </c>
      <c r="C14" s="4" t="inlineStr">
        <is>
          <t>https://perfosteel.ru/services/lazernaya-rezka-listovogo-metalla/nerzhaveyushhej-stali/</t>
        </is>
      </c>
      <c r="D14" s="18" t="inlineStr">
        <is>
          <t>perfosteel.ru</t>
        </is>
      </c>
      <c r="E14" s="17" t="n">
        <v>0.4</v>
      </c>
      <c r="F14" s="19" t="n">
        <v>87</v>
      </c>
      <c r="G14" s="23" t="inlineStr">
        <is>
          <t>Мини-сайт</t>
        </is>
      </c>
      <c r="H14" s="18" t="inlineStr">
        <is>
          <t>Услуга / каталог</t>
        </is>
      </c>
    </row>
    <row r="15" ht="15" customHeight="1">
      <c r="A15" s="4" t="inlineStr">
        <is>
          <t>лазерная резка нержавейки</t>
        </is>
      </c>
      <c r="B15" s="17" t="n">
        <v>8</v>
      </c>
      <c r="C15" s="4" t="inlineStr">
        <is>
          <t>https://premier-laser.ru/lazernaya-rezka-nerzhaveyki/</t>
        </is>
      </c>
      <c r="D15" s="18" t="inlineStr">
        <is>
          <t>premier-laser.ru</t>
        </is>
      </c>
      <c r="E15" s="17" t="n">
        <v>5</v>
      </c>
      <c r="F15" s="19" t="n">
        <v>207</v>
      </c>
      <c r="G15" s="22" t="inlineStr">
        <is>
          <t>Средний сайт</t>
        </is>
      </c>
      <c r="H15" s="18" t="inlineStr">
        <is>
          <t>Услуга / каталог</t>
        </is>
      </c>
    </row>
    <row r="16" ht="15" customHeight="1">
      <c r="A16" s="4" t="inlineStr">
        <is>
          <t>лазерная резка нержавейки</t>
        </is>
      </c>
      <c r="B16" s="17" t="n">
        <v>9</v>
      </c>
      <c r="C16" s="4" t="inlineStr">
        <is>
          <t>https://metall-24.ru/services/rezka-nerzhaveyki/</t>
        </is>
      </c>
      <c r="D16" s="18" t="inlineStr">
        <is>
          <t>metall-24.ru</t>
        </is>
      </c>
      <c r="E16" s="17" t="n">
        <v>0.4</v>
      </c>
      <c r="F16" s="19" t="n">
        <v>345</v>
      </c>
      <c r="G16" s="22" t="inlineStr">
        <is>
          <t>Средний сайт</t>
        </is>
      </c>
      <c r="H16" s="18" t="inlineStr">
        <is>
          <t>Услуга / каталог</t>
        </is>
      </c>
    </row>
    <row r="17" ht="15" customHeight="1">
      <c r="A17" s="4" t="inlineStr">
        <is>
          <t>лазерная резка нержавейки</t>
        </is>
      </c>
      <c r="B17" s="17" t="n">
        <v>10</v>
      </c>
      <c r="C17" s="4" t="inlineStr">
        <is>
          <t>https://plazma-spb.ru/lazernaja-rezka-nerjaveuchey-stali/</t>
        </is>
      </c>
      <c r="D17" s="18" t="inlineStr">
        <is>
          <t>plazma-spb.ru</t>
        </is>
      </c>
      <c r="E17" s="17" t="n">
        <v>9</v>
      </c>
      <c r="F17" s="19" t="n">
        <v>114</v>
      </c>
      <c r="G17" s="23" t="inlineStr">
        <is>
          <t>Мини-сайт</t>
        </is>
      </c>
      <c r="H17" s="18" t="inlineStr">
        <is>
          <t>Услуга / каталог</t>
        </is>
      </c>
    </row>
    <row r="18" ht="15" customHeight="1">
      <c r="A18" s="4" t="inlineStr">
        <is>
          <t>анодирование алюминия</t>
        </is>
      </c>
      <c r="B18" s="17" t="n">
        <v>2</v>
      </c>
      <c r="C18" s="4" t="inlineStr">
        <is>
          <t>https://fortis-steel.ru/Услуги</t>
        </is>
      </c>
      <c r="D18" s="18" t="inlineStr">
        <is>
          <t>fortis-steel.ru</t>
        </is>
      </c>
      <c r="E18" s="17" t="n">
        <v>4</v>
      </c>
      <c r="F18" s="19" t="n">
        <v>544</v>
      </c>
      <c r="G18" s="22" t="inlineStr">
        <is>
          <t>Средний сайт</t>
        </is>
      </c>
      <c r="H18" s="18" t="inlineStr">
        <is>
          <t>Услуга / каталог</t>
        </is>
      </c>
    </row>
    <row r="19" ht="15" customHeight="1">
      <c r="A19" s="4" t="inlineStr">
        <is>
          <t>анодирование алюминия</t>
        </is>
      </c>
      <c r="B19" s="17" t="n">
        <v>3</v>
      </c>
      <c r="C19" s="4" t="inlineStr">
        <is>
          <t>https://www.drive2.ru/</t>
        </is>
      </c>
      <c r="D19" s="18" t="inlineStr">
        <is>
          <t>drive2.ru</t>
        </is>
      </c>
      <c r="E19" s="17" t="n">
        <v>79</v>
      </c>
      <c r="F19" s="19" t="n"/>
      <c r="G19" s="21" t="inlineStr">
        <is>
          <t>Портал / форум / вики</t>
        </is>
      </c>
      <c r="H19" s="18" t="inlineStr">
        <is>
          <t>Главная страница сайта</t>
        </is>
      </c>
    </row>
    <row r="20" ht="15" customHeight="1">
      <c r="A20" s="4" t="inlineStr">
        <is>
          <t>анодирование алюминия</t>
        </is>
      </c>
      <c r="B20" s="17" t="n">
        <v>5</v>
      </c>
      <c r="C20" s="4" t="inlineStr">
        <is>
          <t>https://metallcleaner.com/aluminiy-anodirovanie</t>
        </is>
      </c>
      <c r="D20" s="18" t="inlineStr">
        <is>
          <t>metallcleaner.com</t>
        </is>
      </c>
      <c r="E20" s="17" t="n">
        <v>10</v>
      </c>
      <c r="F20" s="19" t="n">
        <v>118</v>
      </c>
      <c r="G20" s="23" t="inlineStr">
        <is>
          <t>Мини-сайт</t>
        </is>
      </c>
      <c r="H20" s="18" t="inlineStr">
        <is>
          <t>Услуга / каталог</t>
        </is>
      </c>
    </row>
    <row r="21" ht="15" customHeight="1">
      <c r="A21" s="4" t="inlineStr">
        <is>
          <t>анодирование алюминия</t>
        </is>
      </c>
      <c r="B21" s="17" t="n">
        <v>6</v>
      </c>
      <c r="C21" s="4" t="inlineStr">
        <is>
          <t>https://rtg-mps.ru/Статьи</t>
        </is>
      </c>
      <c r="D21" s="18" t="inlineStr">
        <is>
          <t>rtg-mps.ru</t>
        </is>
      </c>
      <c r="E21" s="17" t="n">
        <v>21</v>
      </c>
      <c r="F21" s="19" t="n">
        <v>428</v>
      </c>
      <c r="G21" s="22" t="inlineStr">
        <is>
          <t>Средний сайт</t>
        </is>
      </c>
      <c r="H21" s="18" t="inlineStr">
        <is>
          <t>Статья / инфо</t>
        </is>
      </c>
    </row>
    <row r="22" ht="15" customHeight="1">
      <c r="A22" s="4" t="inlineStr">
        <is>
          <t>анодирование алюминия</t>
        </is>
      </c>
      <c r="B22" s="17" t="n">
        <v>7</v>
      </c>
      <c r="C22" s="4" t="inlineStr">
        <is>
          <t>https://oxi-pro.ru/chto-takoe-anodirovanie-alyuminiya</t>
        </is>
      </c>
      <c r="D22" s="18" t="inlineStr">
        <is>
          <t>oxi-pro.ru</t>
        </is>
      </c>
      <c r="E22" s="17" t="n">
        <v>0</v>
      </c>
      <c r="F22" s="19" t="n">
        <v>16</v>
      </c>
      <c r="G22" s="23" t="inlineStr">
        <is>
          <t>Мини-сайт</t>
        </is>
      </c>
      <c r="H22" s="18" t="inlineStr">
        <is>
          <t>Статья / инфо</t>
        </is>
      </c>
    </row>
    <row r="23" ht="15" customHeight="1">
      <c r="A23" s="4" t="inlineStr">
        <is>
          <t>анодирование алюминия</t>
        </is>
      </c>
      <c r="B23" s="17" t="n">
        <v>8</v>
      </c>
      <c r="C23" s="4" t="inlineStr">
        <is>
          <t>https://www.atissteel.ru/anodirovka-aljuminija</t>
        </is>
      </c>
      <c r="D23" s="18" t="inlineStr">
        <is>
          <t>atissteel.ru</t>
        </is>
      </c>
      <c r="E23" s="17" t="n">
        <v>3.9</v>
      </c>
      <c r="F23" s="19" t="n">
        <v>858</v>
      </c>
      <c r="G23" s="22" t="inlineStr">
        <is>
          <t>Средний сайт</t>
        </is>
      </c>
      <c r="H23" s="18" t="inlineStr">
        <is>
          <t>Услуга / каталог</t>
        </is>
      </c>
    </row>
    <row r="24" ht="15" customHeight="1">
      <c r="A24" s="4" t="inlineStr">
        <is>
          <t>анодирование алюминия</t>
        </is>
      </c>
      <c r="B24" s="17" t="n">
        <v>9</v>
      </c>
      <c r="C24" s="4" t="inlineStr">
        <is>
          <t>https://precision-machines.ru/viewtopic</t>
        </is>
      </c>
      <c r="D24" s="18" t="inlineStr">
        <is>
          <t>precision-machines.ru</t>
        </is>
      </c>
      <c r="E24" s="17" t="n">
        <v>0.1</v>
      </c>
      <c r="F24" s="19" t="n">
        <v>17</v>
      </c>
      <c r="G24" s="23" t="inlineStr">
        <is>
          <t>Мини-сайт</t>
        </is>
      </c>
      <c r="H24" s="18" t="inlineStr">
        <is>
          <t>Статья / инфо</t>
        </is>
      </c>
    </row>
    <row r="25" ht="15" customHeight="1">
      <c r="A25" s="4" t="inlineStr">
        <is>
          <t>анодирование алюминия</t>
        </is>
      </c>
      <c r="B25" s="17" t="n">
        <v>10</v>
      </c>
      <c r="C25" s="4" t="inlineStr">
        <is>
          <t>https://ru.wikipedia.org/wiki/Анодирование</t>
        </is>
      </c>
      <c r="D25" s="18" t="inlineStr">
        <is>
          <t>ru.wikipedia.org</t>
        </is>
      </c>
      <c r="E25" s="17" t="n">
        <v>97</v>
      </c>
      <c r="F25" s="19" t="n"/>
      <c r="G25" s="21" t="inlineStr">
        <is>
          <t>Портал / форум / вики</t>
        </is>
      </c>
      <c r="H25" s="18" t="inlineStr">
        <is>
          <t>Статья / инфо</t>
        </is>
      </c>
    </row>
    <row r="26" ht="15" customHeight="1">
      <c r="A26" s="4" t="inlineStr">
        <is>
          <t>гальваническое цинкование</t>
        </is>
      </c>
      <c r="B26" s="17" t="n">
        <v>2</v>
      </c>
      <c r="C26" s="4" t="inlineStr">
        <is>
          <t>https://zincor-lkm.ru/articles/cinkovanie-metalla/galvanicheskoe_cinkovanie/</t>
        </is>
      </c>
      <c r="D26" s="18" t="inlineStr">
        <is>
          <t>zincor-lkm.ru</t>
        </is>
      </c>
      <c r="E26" s="17" t="n">
        <v>19</v>
      </c>
      <c r="F26" s="19" t="n">
        <v>488</v>
      </c>
      <c r="G26" s="22" t="inlineStr">
        <is>
          <t>Средний сайт</t>
        </is>
      </c>
      <c r="H26" s="18" t="inlineStr">
        <is>
          <t>Статья / инфо</t>
        </is>
      </c>
    </row>
    <row r="27" ht="15" customHeight="1">
      <c r="A27" s="4" t="inlineStr">
        <is>
          <t>гальваническое цинкование</t>
        </is>
      </c>
      <c r="B27" s="17" t="n">
        <v>4</v>
      </c>
      <c r="C27" s="4" t="inlineStr">
        <is>
          <t>https://t-zinc.ru/o-kompanii/stati/texnologiya-galvanicheskogo-czinkovaniya.html</t>
        </is>
      </c>
      <c r="D27" s="18" t="inlineStr">
        <is>
          <t>t-zinc.ru</t>
        </is>
      </c>
      <c r="E27" s="17" t="n">
        <v>12</v>
      </c>
      <c r="F27" s="19" t="n">
        <v>125</v>
      </c>
      <c r="G27" s="23" t="inlineStr">
        <is>
          <t>Мини-сайт</t>
        </is>
      </c>
      <c r="H27" s="18" t="inlineStr">
        <is>
          <t>Статья / инфо</t>
        </is>
      </c>
    </row>
    <row r="28" ht="15" customHeight="1">
      <c r="A28" s="4" t="inlineStr">
        <is>
          <t>гальваническое цинкование</t>
        </is>
      </c>
      <c r="B28" s="17" t="n">
        <v>5</v>
      </c>
      <c r="C28" s="4" t="inlineStr">
        <is>
          <t>https://www.drive2.ru/b/571998110557929989/</t>
        </is>
      </c>
      <c r="D28" s="18" t="inlineStr">
        <is>
          <t>drive2.ru</t>
        </is>
      </c>
      <c r="E28" s="17" t="n">
        <v>79</v>
      </c>
      <c r="F28" s="19" t="n"/>
      <c r="G28" s="21" t="inlineStr">
        <is>
          <t>Портал / форум / вики</t>
        </is>
      </c>
      <c r="H28" s="18" t="inlineStr">
        <is>
          <t>Прочее</t>
        </is>
      </c>
    </row>
    <row r="29" ht="15" customHeight="1">
      <c r="A29" s="4" t="inlineStr">
        <is>
          <t>гальваническое цинкование</t>
        </is>
      </c>
      <c r="B29" s="17" t="n">
        <v>6</v>
      </c>
      <c r="C29" s="4" t="inlineStr">
        <is>
          <t>https://zavod-kmk.ru/info/galvanicheskoe-cinkovanie-metalla-tekhnologiya</t>
        </is>
      </c>
      <c r="D29" s="18" t="inlineStr">
        <is>
          <t>zavod-kmk.ru</t>
        </is>
      </c>
      <c r="E29" s="17" t="n">
        <v>33</v>
      </c>
      <c r="F29" s="19" t="n">
        <v>766</v>
      </c>
      <c r="G29" s="22" t="inlineStr">
        <is>
          <t>Средний сайт</t>
        </is>
      </c>
      <c r="H29" s="18" t="inlineStr">
        <is>
          <t>Статья / инфо</t>
        </is>
      </c>
    </row>
    <row r="30" ht="15" customHeight="1">
      <c r="A30" s="4" t="inlineStr">
        <is>
          <t>гальваническое цинкование</t>
        </is>
      </c>
      <c r="B30" s="17" t="n">
        <v>9</v>
      </c>
      <c r="C30" s="4" t="inlineStr">
        <is>
          <t>https://biblioserver.usurt.ru/cgi-bin/irbis64r_13/cgiirbis_64.exe (PDF)</t>
        </is>
      </c>
      <c r="D30" s="18" t="inlineStr">
        <is>
          <t>biblioserver.usurt.ru</t>
        </is>
      </c>
      <c r="E30" s="17" t="n">
        <v>51</v>
      </c>
      <c r="F30" s="19" t="n"/>
      <c r="G30" s="21" t="inlineStr">
        <is>
          <t>Портал / форум / вики</t>
        </is>
      </c>
      <c r="H30" s="18" t="inlineStr">
        <is>
          <t>Статья / инфо</t>
        </is>
      </c>
    </row>
    <row r="31" ht="15" customHeight="1">
      <c r="A31" s="4" t="inlineStr">
        <is>
          <t>гальваническое цинкование</t>
        </is>
      </c>
      <c r="B31" s="17" t="n">
        <v>10</v>
      </c>
      <c r="C31" s="4" t="inlineStr">
        <is>
          <t>https://fcm-terminal.com/services/galvanized</t>
        </is>
      </c>
      <c r="D31" s="18" t="inlineStr">
        <is>
          <t>fcm-terminal.com</t>
        </is>
      </c>
      <c r="E31" s="17" t="n">
        <v>6</v>
      </c>
      <c r="F31" s="19" t="n">
        <v>16</v>
      </c>
      <c r="G31" s="23" t="inlineStr">
        <is>
          <t>Мини-сайт</t>
        </is>
      </c>
      <c r="H31" s="18" t="inlineStr">
        <is>
          <t>Услуга / каталог</t>
        </is>
      </c>
    </row>
    <row r="32" ht="15" customHeight="1">
      <c r="A32" s="4" t="inlineStr">
        <is>
          <t>цинкование металла</t>
        </is>
      </c>
      <c r="B32" s="17" t="n">
        <v>2</v>
      </c>
      <c r="C32" s="4" t="inlineStr">
        <is>
          <t>https://www.drive2.ru/b/571998110557929989/</t>
        </is>
      </c>
      <c r="D32" s="18" t="inlineStr">
        <is>
          <t>drive2.ru</t>
        </is>
      </c>
      <c r="E32" s="17" t="n">
        <v>79</v>
      </c>
      <c r="F32" s="19" t="n"/>
      <c r="G32" s="21" t="inlineStr">
        <is>
          <t>Портал / форум / вики</t>
        </is>
      </c>
      <c r="H32" s="18" t="inlineStr">
        <is>
          <t>Прочее</t>
        </is>
      </c>
    </row>
    <row r="33" ht="15" customHeight="1">
      <c r="A33" s="4" t="inlineStr">
        <is>
          <t>цинкование металла</t>
        </is>
      </c>
      <c r="B33" s="17" t="n">
        <v>3</v>
      </c>
      <c r="C33" s="4" t="inlineStr">
        <is>
          <t>https://zavod-kmk.ru/info/vidy-tsinkovaniya-metalla</t>
        </is>
      </c>
      <c r="D33" s="18" t="inlineStr">
        <is>
          <t>zavod-kmk.ru</t>
        </is>
      </c>
      <c r="E33" s="17" t="n">
        <v>33</v>
      </c>
      <c r="F33" s="19" t="n">
        <v>766</v>
      </c>
      <c r="G33" s="22" t="inlineStr">
        <is>
          <t>Средний сайт</t>
        </is>
      </c>
      <c r="H33" s="18" t="inlineStr">
        <is>
          <t>Статья / инфо</t>
        </is>
      </c>
    </row>
    <row r="34" ht="15" customHeight="1">
      <c r="A34" s="4" t="inlineStr">
        <is>
          <t>цинкование металла</t>
        </is>
      </c>
      <c r="B34" s="17" t="n">
        <v>5</v>
      </c>
      <c r="C34" s="4" t="inlineStr">
        <is>
          <t>https://centr-zinc.ru/statie/holodnoe-cinkovanie-v-domashnih-usloviyah/</t>
        </is>
      </c>
      <c r="D34" s="18" t="inlineStr">
        <is>
          <t>centr-zinc.ru</t>
        </is>
      </c>
      <c r="E34" s="17" t="n">
        <v>24</v>
      </c>
      <c r="F34" s="19" t="n">
        <v>10</v>
      </c>
      <c r="G34" s="23" t="inlineStr">
        <is>
          <t>Мини-сайт</t>
        </is>
      </c>
      <c r="H34" s="18" t="inlineStr">
        <is>
          <t>Статья / инфо</t>
        </is>
      </c>
    </row>
    <row r="35" ht="15" customHeight="1">
      <c r="A35" s="4" t="inlineStr">
        <is>
          <t>цинкование металла</t>
        </is>
      </c>
      <c r="B35" s="17" t="n">
        <v>6</v>
      </c>
      <c r="C35" s="4" t="inlineStr">
        <is>
          <t>https://ru.wikipedia.org/wiki/Цинкование</t>
        </is>
      </c>
      <c r="D35" s="18" t="inlineStr">
        <is>
          <t>ru.wikipedia.org</t>
        </is>
      </c>
      <c r="E35" s="17" t="n">
        <v>97</v>
      </c>
      <c r="F35" s="19" t="n"/>
      <c r="G35" s="21" t="inlineStr">
        <is>
          <t>Портал / форум / вики</t>
        </is>
      </c>
      <c r="H35" s="18" t="inlineStr">
        <is>
          <t>Статья / инфо</t>
        </is>
      </c>
    </row>
    <row r="36" ht="15" customHeight="1">
      <c r="A36" s="4" t="inlineStr">
        <is>
          <t>цинкование металла</t>
        </is>
      </c>
      <c r="B36" s="17" t="n">
        <v>7</v>
      </c>
      <c r="C36" s="4" t="inlineStr">
        <is>
          <t>https://market.severstal.com/ru/ru/t/27001</t>
        </is>
      </c>
      <c r="D36" s="18" t="inlineStr">
        <is>
          <t>market.severstal.com</t>
        </is>
      </c>
      <c r="E36" s="17" t="n">
        <v>72</v>
      </c>
      <c r="F36" s="19" t="n"/>
      <c r="G36" s="21" t="inlineStr">
        <is>
          <t>Портал / форум / вики</t>
        </is>
      </c>
      <c r="H36" s="18" t="inlineStr">
        <is>
          <t>Прочее</t>
        </is>
      </c>
    </row>
    <row r="37" ht="15" customHeight="1">
      <c r="A37" s="4" t="inlineStr">
        <is>
          <t>цинкование металла</t>
        </is>
      </c>
      <c r="B37" s="17" t="n">
        <v>8</v>
      </c>
      <c r="C37" s="4" t="inlineStr">
        <is>
          <t>https://promsnab.me/news/_tsinkovanie_2_sposoba_nanesti_tsink_na_metall_/</t>
        </is>
      </c>
      <c r="D37" s="18" t="inlineStr">
        <is>
          <t>promsnab.me</t>
        </is>
      </c>
      <c r="E37" s="17" t="n">
        <v>4.3</v>
      </c>
      <c r="F37" s="19" t="n">
        <v>426</v>
      </c>
      <c r="G37" s="22" t="inlineStr">
        <is>
          <t>Средний сайт</t>
        </is>
      </c>
      <c r="H37" s="18" t="inlineStr">
        <is>
          <t>Статья / инфо</t>
        </is>
      </c>
    </row>
    <row r="38" ht="15" customHeight="1">
      <c r="A38" s="4" t="inlineStr">
        <is>
          <t>цинкование металла</t>
        </is>
      </c>
      <c r="B38" s="17" t="n">
        <v>9</v>
      </c>
      <c r="C38" s="4" t="inlineStr">
        <is>
          <t>https://www.krepco.ru/blog/tsink1/</t>
        </is>
      </c>
      <c r="D38" s="18" t="inlineStr">
        <is>
          <t>krepco.ru</t>
        </is>
      </c>
      <c r="E38" s="17" t="n">
        <v>19</v>
      </c>
      <c r="F38" s="19" t="n">
        <v>1395</v>
      </c>
      <c r="G38" s="20" t="inlineStr">
        <is>
          <t>Большой сайт</t>
        </is>
      </c>
      <c r="H38" s="18" t="inlineStr">
        <is>
          <t>Статья / инфо</t>
        </is>
      </c>
    </row>
    <row r="39" ht="15" customHeight="1">
      <c r="A39" s="4" t="inlineStr">
        <is>
          <t>цинкование металла</t>
        </is>
      </c>
      <c r="B39" s="17" t="n">
        <v>10</v>
      </c>
      <c r="C39" s="4" t="inlineStr">
        <is>
          <t>https://steel-ex.ru/services/tsinkovanie/</t>
        </is>
      </c>
      <c r="D39" s="18" t="inlineStr">
        <is>
          <t>steel-ex.ru</t>
        </is>
      </c>
      <c r="E39" s="17" t="n">
        <v>2</v>
      </c>
      <c r="F39" s="19" t="n">
        <v>2049</v>
      </c>
      <c r="G39" s="20" t="inlineStr">
        <is>
          <t>Большой сайт</t>
        </is>
      </c>
      <c r="H39" s="18" t="inlineStr">
        <is>
          <t>Услуга / каталог</t>
        </is>
      </c>
    </row>
    <row r="40" ht="15" customHeight="1">
      <c r="A40" s="4" t="inlineStr">
        <is>
          <t>пассивация нержавейки</t>
        </is>
      </c>
      <c r="B40" s="17" t="n">
        <v>2</v>
      </c>
      <c r="C40" s="4" t="inlineStr">
        <is>
          <t>https://pharmawater.ru/about/stati/passivaciya-nerzhaveyushchej-stali/</t>
        </is>
      </c>
      <c r="D40" s="18" t="inlineStr">
        <is>
          <t>pharmawater.ru</t>
        </is>
      </c>
      <c r="E40" s="17" t="n">
        <v>27</v>
      </c>
      <c r="F40" s="19" t="n">
        <v>197</v>
      </c>
      <c r="G40" s="22" t="inlineStr">
        <is>
          <t>Средний сайт</t>
        </is>
      </c>
      <c r="H40" s="18" t="inlineStr">
        <is>
          <t>Статья / инфо</t>
        </is>
      </c>
    </row>
    <row r="41" ht="15" customHeight="1">
      <c r="A41" s="4" t="inlineStr">
        <is>
          <t>пассивация нержавейки</t>
        </is>
      </c>
      <c r="B41" s="17" t="n">
        <v>4</v>
      </c>
      <c r="C41" s="4" t="inlineStr">
        <is>
          <t>https://morvesti.ru/analitika/1685/81153/</t>
        </is>
      </c>
      <c r="D41" s="18" t="inlineStr">
        <is>
          <t>morvesti.ru</t>
        </is>
      </c>
      <c r="E41" s="17" t="n">
        <v>50</v>
      </c>
      <c r="F41" s="19" t="n"/>
      <c r="G41" s="21" t="inlineStr">
        <is>
          <t>Портал / форум / вики</t>
        </is>
      </c>
      <c r="H41" s="18" t="inlineStr">
        <is>
          <t>Статья / инфо</t>
        </is>
      </c>
    </row>
    <row r="42" ht="15" customHeight="1">
      <c r="A42" s="4" t="inlineStr">
        <is>
          <t>пассивация нержавейки</t>
        </is>
      </c>
      <c r="B42" s="17" t="n">
        <v>5</v>
      </c>
      <c r="C42" s="4" t="inlineStr">
        <is>
          <t>https://www.chipmaker.ru/topic/57138/</t>
        </is>
      </c>
      <c r="D42" s="18" t="inlineStr">
        <is>
          <t>chipmaker.ru</t>
        </is>
      </c>
      <c r="E42" s="17" t="n">
        <v>38</v>
      </c>
      <c r="F42" s="19" t="n">
        <v>4604</v>
      </c>
      <c r="G42" s="21" t="inlineStr">
        <is>
          <t>Портал / форум / вики</t>
        </is>
      </c>
      <c r="H42" s="18" t="inlineStr">
        <is>
          <t>Статья / инфо</t>
        </is>
      </c>
    </row>
    <row r="43" ht="27" customHeight="1">
      <c r="A43" s="4" t="inlineStr">
        <is>
          <t>пассивация нержавейки</t>
        </is>
      </c>
      <c r="B43" s="17" t="n">
        <v>6</v>
      </c>
      <c r="C43" s="4" t="inlineStr">
        <is>
          <t>https://runwillpools.ru/news/elektrokhimicheskaya_passivatsiya_nerzhaveyushchey_stali/</t>
        </is>
      </c>
      <c r="D43" s="18" t="inlineStr">
        <is>
          <t>runwillpools.ru</t>
        </is>
      </c>
      <c r="E43" s="17" t="n">
        <v>7</v>
      </c>
      <c r="F43" s="19" t="n">
        <v>30</v>
      </c>
      <c r="G43" s="23" t="inlineStr">
        <is>
          <t>Мини-сайт</t>
        </is>
      </c>
      <c r="H43" s="18" t="inlineStr">
        <is>
          <t>Статья / инфо</t>
        </is>
      </c>
    </row>
    <row r="44" ht="15" customHeight="1">
      <c r="A44" s="4" t="inlineStr">
        <is>
          <t>пассивация нержавейки</t>
        </is>
      </c>
      <c r="B44" s="17" t="n">
        <v>7</v>
      </c>
      <c r="C44" s="4" t="inlineStr">
        <is>
          <t>https://cip-system.ru/stati/ochistka-i-passivaciya-svarnyh-shvov</t>
        </is>
      </c>
      <c r="D44" s="18" t="inlineStr">
        <is>
          <t>cip-system.ru</t>
        </is>
      </c>
      <c r="E44" s="17" t="n">
        <v>0.2</v>
      </c>
      <c r="F44" s="19" t="n">
        <v>26</v>
      </c>
      <c r="G44" s="23" t="inlineStr">
        <is>
          <t>Мини-сайт</t>
        </is>
      </c>
      <c r="H44" s="18" t="inlineStr">
        <is>
          <t>Статья / инфо</t>
        </is>
      </c>
    </row>
    <row r="45" ht="15" customHeight="1">
      <c r="A45" s="4" t="inlineStr">
        <is>
          <t>пассивация нержавейки</t>
        </is>
      </c>
      <c r="B45" s="17" t="n">
        <v>8</v>
      </c>
      <c r="C45" s="4" t="inlineStr">
        <is>
          <t>https://zctc.ru/products/passivaciya_nerjavejushej_stali</t>
        </is>
      </c>
      <c r="D45" s="18" t="inlineStr">
        <is>
          <t>zctc.ru</t>
        </is>
      </c>
      <c r="E45" s="17" t="n">
        <v>12</v>
      </c>
      <c r="F45" s="19" t="n">
        <v>547</v>
      </c>
      <c r="G45" s="22" t="inlineStr">
        <is>
          <t>Средний сайт</t>
        </is>
      </c>
      <c r="H45" s="18" t="inlineStr">
        <is>
          <t>Услуга / каталог</t>
        </is>
      </c>
    </row>
    <row r="46" ht="15" customHeight="1">
      <c r="A46" s="4" t="inlineStr">
        <is>
          <t>пассивация нержавейки</t>
        </is>
      </c>
      <c r="B46" s="17" t="n">
        <v>9</v>
      </c>
      <c r="C46" s="4" t="inlineStr">
        <is>
          <t>https://www.stankoff.ru/blog/post/782</t>
        </is>
      </c>
      <c r="D46" s="18" t="inlineStr">
        <is>
          <t>stankoff.ru</t>
        </is>
      </c>
      <c r="E46" s="17" t="n">
        <v>42</v>
      </c>
      <c r="F46" s="19" t="n">
        <v>3432</v>
      </c>
      <c r="G46" s="20" t="inlineStr">
        <is>
          <t>Большой сайт</t>
        </is>
      </c>
      <c r="H46" s="18" t="inlineStr">
        <is>
          <t>Статья / инфо</t>
        </is>
      </c>
    </row>
    <row r="47" ht="15" customHeight="1">
      <c r="A47" s="4" t="inlineStr">
        <is>
          <t>пассивация нержавейки</t>
        </is>
      </c>
      <c r="B47" s="17" t="n">
        <v>10</v>
      </c>
      <c r="C47" s="4" t="inlineStr">
        <is>
          <t>https://inner.su/articles/passivatsiya-nerzhaveyki-eto/</t>
        </is>
      </c>
      <c r="D47" s="18" t="inlineStr">
        <is>
          <t>inner.su</t>
        </is>
      </c>
      <c r="E47" s="17" t="n">
        <v>21</v>
      </c>
      <c r="F47" s="19" t="n">
        <v>13091</v>
      </c>
      <c r="G47" s="20" t="inlineStr">
        <is>
          <t>Большой сайт</t>
        </is>
      </c>
      <c r="H47" s="18" t="inlineStr">
        <is>
          <t>Статья / инфо</t>
        </is>
      </c>
    </row>
    <row r="48" ht="27" customHeight="1">
      <c r="A48" s="4" t="inlineStr">
        <is>
          <t>травление нержавеющей стали</t>
        </is>
      </c>
      <c r="B48" s="17" t="n">
        <v>2</v>
      </c>
      <c r="C48" s="4" t="inlineStr">
        <is>
          <t>https://stankiexpert.ru/spravochnik/materialovedenie/travlenie-nerzhaveyushhejj-stali.html</t>
        </is>
      </c>
      <c r="D48" s="18" t="inlineStr">
        <is>
          <t>stankiexpert.ru</t>
        </is>
      </c>
      <c r="E48" s="17" t="n">
        <v>25</v>
      </c>
      <c r="F48" s="19" t="n">
        <v>42</v>
      </c>
      <c r="G48" s="23" t="inlineStr">
        <is>
          <t>Мини-сайт</t>
        </is>
      </c>
      <c r="H48" s="18" t="inlineStr">
        <is>
          <t>Статья / инфо</t>
        </is>
      </c>
    </row>
    <row r="49" ht="27" customHeight="1">
      <c r="A49" s="4" t="inlineStr">
        <is>
          <t>травление нержавеющей стали</t>
        </is>
      </c>
      <c r="B49" s="17" t="n">
        <v>3</v>
      </c>
      <c r="C49" s="4" t="inlineStr">
        <is>
          <t>https://solidiron.ru/steel/travlenie-nerzhaveyushhejj-stali-pokazaniya-metody-travleniya.html</t>
        </is>
      </c>
      <c r="D49" s="18" t="inlineStr">
        <is>
          <t>solidiron.ru</t>
        </is>
      </c>
      <c r="E49" s="17" t="n">
        <v>0.2</v>
      </c>
      <c r="F49" s="19" t="n">
        <v>0</v>
      </c>
      <c r="G49" s="23" t="inlineStr">
        <is>
          <t>Мини-сайт</t>
        </is>
      </c>
      <c r="H49" s="18" t="inlineStr">
        <is>
          <t>Статья / инфо</t>
        </is>
      </c>
    </row>
    <row r="50" ht="15" customHeight="1">
      <c r="A50" s="4" t="inlineStr">
        <is>
          <t>травление нержавеющей стали</t>
        </is>
      </c>
      <c r="B50" s="17" t="n">
        <v>4</v>
      </c>
      <c r="C50" s="4" t="inlineStr">
        <is>
          <t>https://vtorexpo.ru/galvanika/travlenie-nerzhaveyushhej-stali-na-domu.html</t>
        </is>
      </c>
      <c r="D50" s="18" t="inlineStr">
        <is>
          <t>vtorexpo.ru</t>
        </is>
      </c>
      <c r="E50" s="17" t="n">
        <v>4.2</v>
      </c>
      <c r="F50" s="19" t="n">
        <v>0</v>
      </c>
      <c r="G50" s="23" t="inlineStr">
        <is>
          <t>Мини-сайт</t>
        </is>
      </c>
      <c r="H50" s="18" t="inlineStr">
        <is>
          <t>Статья / инфо</t>
        </is>
      </c>
    </row>
    <row r="51" ht="15" customHeight="1">
      <c r="A51" s="4" t="inlineStr">
        <is>
          <t>травление нержавеющей стали</t>
        </is>
      </c>
      <c r="B51" s="17" t="n">
        <v>5</v>
      </c>
      <c r="C51" s="4" t="inlineStr">
        <is>
          <t>http://stalevarim.ru/pub/travlenie-nerzhaveuschih-staley/</t>
        </is>
      </c>
      <c r="D51" s="18" t="inlineStr">
        <is>
          <t>stalevarim.ru</t>
        </is>
      </c>
      <c r="E51" s="17" t="n">
        <v>7</v>
      </c>
      <c r="F51" s="19" t="n">
        <v>0</v>
      </c>
      <c r="G51" s="23" t="inlineStr">
        <is>
          <t>Мини-сайт</t>
        </is>
      </c>
      <c r="H51" s="18" t="inlineStr">
        <is>
          <t>Статья / инфо</t>
        </is>
      </c>
    </row>
    <row r="52" ht="27" customHeight="1">
      <c r="A52" s="4" t="inlineStr">
        <is>
          <t>травление нержавеющей стали</t>
        </is>
      </c>
      <c r="B52" s="17" t="n">
        <v>7</v>
      </c>
      <c r="C52" s="4" t="inlineStr">
        <is>
          <t>http://met-all.org/stal/obrabotka-nerzhaveyushhej-stali-travlenie-shlifovanie-satinirovanie.html</t>
        </is>
      </c>
      <c r="D52" s="18" t="inlineStr">
        <is>
          <t>met-all.org</t>
        </is>
      </c>
      <c r="E52" s="17" t="n">
        <v>23</v>
      </c>
      <c r="F52" s="19" t="n">
        <v>21</v>
      </c>
      <c r="G52" s="23" t="inlineStr">
        <is>
          <t>Мини-сайт</t>
        </is>
      </c>
      <c r="H52" s="18" t="inlineStr">
        <is>
          <t>Статья / инфо</t>
        </is>
      </c>
    </row>
    <row r="53" ht="15" customHeight="1">
      <c r="A53" s="4" t="inlineStr">
        <is>
          <t>травление нержавеющей стали</t>
        </is>
      </c>
      <c r="B53" s="17" t="n">
        <v>8</v>
      </c>
      <c r="C53" s="4" t="inlineStr">
        <is>
          <t>https://instanko.ru/drugoe/travlenie-nerzhavejki.html</t>
        </is>
      </c>
      <c r="D53" s="18" t="inlineStr">
        <is>
          <t>instanko.ru</t>
        </is>
      </c>
      <c r="E53" s="17" t="n">
        <v>20</v>
      </c>
      <c r="F53" s="19" t="n">
        <v>0</v>
      </c>
      <c r="G53" s="23" t="inlineStr">
        <is>
          <t>Мини-сайт</t>
        </is>
      </c>
      <c r="H53" s="18" t="inlineStr">
        <is>
          <t>Статья / инфо</t>
        </is>
      </c>
    </row>
    <row r="54" ht="27" customHeight="1">
      <c r="A54" s="4" t="inlineStr">
        <is>
          <t>травление нержавеющей стали</t>
        </is>
      </c>
      <c r="B54" s="17" t="n">
        <v>9</v>
      </c>
      <c r="C54" s="4" t="inlineStr">
        <is>
          <t>https://steelfactoryrus.com/travlenie-nerzhaveyuschey-stali-v-domashnih-usloviyah/</t>
        </is>
      </c>
      <c r="D54" s="18" t="inlineStr">
        <is>
          <t>steelfactoryrus.com</t>
        </is>
      </c>
      <c r="E54" s="17" t="n">
        <v>0</v>
      </c>
      <c r="F54" s="19" t="n">
        <v>0</v>
      </c>
      <c r="G54" s="23" t="inlineStr">
        <is>
          <t>Мини-сайт</t>
        </is>
      </c>
      <c r="H54" s="18" t="inlineStr">
        <is>
          <t>Статья / инфо</t>
        </is>
      </c>
    </row>
    <row r="55" ht="15" customHeight="1">
      <c r="A55" s="4" t="inlineStr">
        <is>
          <t>травление нержавеющей стали</t>
        </is>
      </c>
      <c r="B55" s="17" t="n">
        <v>10</v>
      </c>
      <c r="C55" s="4" t="inlineStr">
        <is>
          <t>https://www.chem21.info/info/945115/</t>
        </is>
      </c>
      <c r="D55" s="18" t="inlineStr">
        <is>
          <t>chem21.info</t>
        </is>
      </c>
      <c r="E55" s="17" t="n">
        <v>57</v>
      </c>
      <c r="F55" s="19" t="n">
        <v>1640</v>
      </c>
      <c r="G55" s="20" t="inlineStr">
        <is>
          <t>Большой сайт</t>
        </is>
      </c>
      <c r="H55" s="18" t="inlineStr">
        <is>
          <t>Статья / инфо</t>
        </is>
      </c>
    </row>
    <row r="56" ht="15" customHeight="1">
      <c r="A56" s="4" t="inlineStr">
        <is>
          <t>гидроабразивная резка металла</t>
        </is>
      </c>
      <c r="B56" s="17" t="n">
        <v>2</v>
      </c>
      <c r="C56" s="4" t="inlineStr">
        <is>
          <t>https://kit-cut.ru/</t>
        </is>
      </c>
      <c r="D56" s="18" t="inlineStr">
        <is>
          <t>kit-cut.ru</t>
        </is>
      </c>
      <c r="E56" s="17" t="n">
        <v>27</v>
      </c>
      <c r="F56" s="19" t="n">
        <v>57</v>
      </c>
      <c r="G56" s="23" t="inlineStr">
        <is>
          <t>Мини-сайт</t>
        </is>
      </c>
      <c r="H56" s="18" t="inlineStr">
        <is>
          <t>Главная страница сайта</t>
        </is>
      </c>
    </row>
    <row r="57" ht="15" customHeight="1">
      <c r="A57" s="4" t="inlineStr">
        <is>
          <t>гидроабразивная резка металла</t>
        </is>
      </c>
      <c r="B57" s="17" t="n">
        <v>3</v>
      </c>
      <c r="C57" s="4" t="inlineStr">
        <is>
          <t>https://shtorm.ru/info/articles/tekhnologiya-gidroabrazivnoy-rezki-/</t>
        </is>
      </c>
      <c r="D57" s="18" t="inlineStr">
        <is>
          <t>shtorm.ru</t>
        </is>
      </c>
      <c r="E57" s="17" t="n">
        <v>7</v>
      </c>
      <c r="F57" s="19" t="n">
        <v>147</v>
      </c>
      <c r="G57" s="23" t="inlineStr">
        <is>
          <t>Мини-сайт</t>
        </is>
      </c>
      <c r="H57" s="18" t="inlineStr">
        <is>
          <t>Статья / инфо</t>
        </is>
      </c>
    </row>
    <row r="58" ht="15" customHeight="1">
      <c r="A58" s="4" t="inlineStr">
        <is>
          <t>гидроабразивная резка металла</t>
        </is>
      </c>
      <c r="B58" s="17" t="n">
        <v>4</v>
      </c>
      <c r="C58" s="4" t="inlineStr">
        <is>
          <t>https://ru.wikipedia.org/wiki/Гидроабразивная_резка</t>
        </is>
      </c>
      <c r="D58" s="18" t="inlineStr">
        <is>
          <t>ru.wikipedia.org</t>
        </is>
      </c>
      <c r="E58" s="17" t="n">
        <v>97</v>
      </c>
      <c r="F58" s="19" t="n"/>
      <c r="G58" s="21" t="inlineStr">
        <is>
          <t>Портал / форум / вики</t>
        </is>
      </c>
      <c r="H58" s="18" t="inlineStr">
        <is>
          <t>Статья / инфо</t>
        </is>
      </c>
    </row>
    <row r="59" ht="15" customHeight="1">
      <c r="A59" s="4" t="inlineStr">
        <is>
          <t>гидроабразивная резка металла</t>
        </is>
      </c>
      <c r="B59" s="17" t="n">
        <v>6</v>
      </c>
      <c r="C59" s="4" t="inlineStr">
        <is>
          <t>https://utk-steel.ru/services/rezka/gidroabrazivnaya-rezka/</t>
        </is>
      </c>
      <c r="D59" s="18" t="inlineStr">
        <is>
          <t>utk-steel.ru</t>
        </is>
      </c>
      <c r="E59" s="17" t="n">
        <v>7</v>
      </c>
      <c r="F59" s="19" t="n">
        <v>197</v>
      </c>
      <c r="G59" s="22" t="inlineStr">
        <is>
          <t>Средний сайт</t>
        </is>
      </c>
      <c r="H59" s="18" t="inlineStr">
        <is>
          <t>Услуга / каталог</t>
        </is>
      </c>
    </row>
    <row r="60" ht="15" customHeight="1">
      <c r="A60" s="4" t="inlineStr">
        <is>
          <t>гидроабразивная резка металла</t>
        </is>
      </c>
      <c r="B60" s="17" t="n">
        <v>7</v>
      </c>
      <c r="C60" s="4" t="inlineStr">
        <is>
          <t>https://www.stankoff.ru/blog/post/690</t>
        </is>
      </c>
      <c r="D60" s="18" t="inlineStr">
        <is>
          <t>stankoff.ru</t>
        </is>
      </c>
      <c r="E60" s="17" t="n">
        <v>42</v>
      </c>
      <c r="F60" s="19" t="n">
        <v>3432</v>
      </c>
      <c r="G60" s="20" t="inlineStr">
        <is>
          <t>Большой сайт</t>
        </is>
      </c>
      <c r="H60" s="18" t="inlineStr">
        <is>
          <t>Статья / инфо</t>
        </is>
      </c>
    </row>
    <row r="61" ht="15" customHeight="1">
      <c r="A61" s="4" t="inlineStr">
        <is>
          <t>гидроабразивная резка металла</t>
        </is>
      </c>
      <c r="B61" s="17" t="n">
        <v>8</v>
      </c>
      <c r="C61" s="4" t="inlineStr">
        <is>
          <t>https://listmet.ru/services/production/</t>
        </is>
      </c>
      <c r="D61" s="18" t="inlineStr">
        <is>
          <t>listmet.ru</t>
        </is>
      </c>
      <c r="E61" s="17" t="n">
        <v>16</v>
      </c>
      <c r="F61" s="19" t="n">
        <v>131</v>
      </c>
      <c r="G61" s="23" t="inlineStr">
        <is>
          <t>Мини-сайт</t>
        </is>
      </c>
      <c r="H61" s="18" t="inlineStr">
        <is>
          <t>Услуга / каталог</t>
        </is>
      </c>
    </row>
    <row r="62" ht="15" customHeight="1">
      <c r="A62" s="4" t="inlineStr">
        <is>
          <t>гидроабразивная резка металла</t>
        </is>
      </c>
      <c r="B62" s="17" t="n">
        <v>9</v>
      </c>
      <c r="C62" s="4" t="inlineStr">
        <is>
          <t>https://laserstore.ru/blog/gidroabrazivnaya-rezka/</t>
        </is>
      </c>
      <c r="D62" s="18" t="inlineStr">
        <is>
          <t>laserstore.ru</t>
        </is>
      </c>
      <c r="E62" s="17" t="n">
        <v>16</v>
      </c>
      <c r="F62" s="19" t="n">
        <v>867</v>
      </c>
      <c r="G62" s="22" t="inlineStr">
        <is>
          <t>Средний сайт</t>
        </is>
      </c>
      <c r="H62" s="18" t="inlineStr">
        <is>
          <t>Статья / инфо</t>
        </is>
      </c>
    </row>
    <row r="63" ht="15" customHeight="1">
      <c r="A63" s="4" t="inlineStr">
        <is>
          <t>гидроабразивная резка металла</t>
        </is>
      </c>
      <c r="B63" s="17" t="n">
        <v>10</v>
      </c>
      <c r="C63" s="4" t="inlineStr">
        <is>
          <t>https://promexcut.ru/gidroabrazivnaya-rezka</t>
        </is>
      </c>
      <c r="D63" s="18" t="inlineStr">
        <is>
          <t>promexcut.ru</t>
        </is>
      </c>
      <c r="E63" s="17" t="n">
        <v>35</v>
      </c>
      <c r="F63" s="19" t="n">
        <v>558</v>
      </c>
      <c r="G63" s="22" t="inlineStr">
        <is>
          <t>Средний сайт</t>
        </is>
      </c>
      <c r="H63" s="18" t="inlineStr">
        <is>
          <t>Услуга / каталог</t>
        </is>
      </c>
    </row>
    <row r="64" ht="15" customHeight="1">
      <c r="A64" s="4" t="inlineStr">
        <is>
          <t>гальванические покрытия</t>
        </is>
      </c>
      <c r="B64" s="17" t="n">
        <v>2</v>
      </c>
      <c r="C64" s="4" t="inlineStr">
        <is>
          <t>https://pzki54.ru/stati/galvanicheskoe-pokrytie-metalla.php</t>
        </is>
      </c>
      <c r="D64" s="18" t="inlineStr">
        <is>
          <t>pzki54.ru</t>
        </is>
      </c>
      <c r="E64" s="17" t="n">
        <v>3.3</v>
      </c>
      <c r="F64" s="19" t="n">
        <v>278</v>
      </c>
      <c r="G64" s="22" t="inlineStr">
        <is>
          <t>Средний сайт</t>
        </is>
      </c>
      <c r="H64" s="18" t="inlineStr">
        <is>
          <t>Статья / инфо</t>
        </is>
      </c>
    </row>
    <row r="65" ht="15" customHeight="1">
      <c r="A65" s="4" t="inlineStr">
        <is>
          <t>гальванические покрытия</t>
        </is>
      </c>
      <c r="B65" s="17" t="n">
        <v>4</v>
      </c>
      <c r="C65" s="4" t="inlineStr">
        <is>
          <t>https://uralactiv.ru/articles/galvanicheskie-pokrytiya/</t>
        </is>
      </c>
      <c r="D65" s="18" t="inlineStr">
        <is>
          <t>uralactiv.ru</t>
        </is>
      </c>
      <c r="E65" s="17" t="n">
        <v>9</v>
      </c>
      <c r="F65" s="19" t="n">
        <v>250</v>
      </c>
      <c r="G65" s="22" t="inlineStr">
        <is>
          <t>Средний сайт</t>
        </is>
      </c>
      <c r="H65" s="18" t="inlineStr">
        <is>
          <t>Статья / инфо</t>
        </is>
      </c>
    </row>
    <row r="66" ht="27" customHeight="1">
      <c r="A66" s="4" t="inlineStr">
        <is>
          <t>гальванические покрытия</t>
        </is>
      </c>
      <c r="B66" s="17" t="n">
        <v>5</v>
      </c>
      <c r="C66" s="4" t="inlineStr">
        <is>
          <t>https://vector-ostrov.ru/blog/galvanicheskoe-pokrytie-metalla-chto-eto-i-kak-rabotaet/</t>
        </is>
      </c>
      <c r="D66" s="18" t="inlineStr">
        <is>
          <t>vector-ostrov.ru</t>
        </is>
      </c>
      <c r="E66" s="17" t="n">
        <v>0</v>
      </c>
      <c r="F66" s="19" t="n">
        <v>31</v>
      </c>
      <c r="G66" s="23" t="inlineStr">
        <is>
          <t>Мини-сайт</t>
        </is>
      </c>
      <c r="H66" s="18" t="inlineStr">
        <is>
          <t>Статья / инфо</t>
        </is>
      </c>
    </row>
    <row r="67" ht="15" customHeight="1">
      <c r="A67" s="4" t="inlineStr">
        <is>
          <t>гальванические покрытия</t>
        </is>
      </c>
      <c r="B67" s="17" t="n">
        <v>6</v>
      </c>
      <c r="C67" s="4" t="inlineStr">
        <is>
          <t>https://trusty-tools.ru/articles/galvanicheskoe-pokrytie</t>
        </is>
      </c>
      <c r="D67" s="18" t="inlineStr">
        <is>
          <t>trusty-tools.ru</t>
        </is>
      </c>
      <c r="E67" s="17" t="n">
        <v>24</v>
      </c>
      <c r="F67" s="19" t="n">
        <v>951</v>
      </c>
      <c r="G67" s="22" t="inlineStr">
        <is>
          <t>Средний сайт</t>
        </is>
      </c>
      <c r="H67" s="18" t="inlineStr">
        <is>
          <t>Статья / инфо</t>
        </is>
      </c>
    </row>
    <row r="68" ht="15" customHeight="1">
      <c r="A68" s="4" t="inlineStr">
        <is>
          <t>гальванические покрытия</t>
        </is>
      </c>
      <c r="B68" s="17" t="n">
        <v>7</v>
      </c>
      <c r="C68" s="4" t="inlineStr">
        <is>
          <t>https://vils.ru/articles/galvanicheskoe-pokrytie-naznachenie-vidy-nanesenie/</t>
        </is>
      </c>
      <c r="D68" s="18" t="inlineStr">
        <is>
          <t>vils.ru</t>
        </is>
      </c>
      <c r="E68" s="17" t="n">
        <v>9</v>
      </c>
      <c r="F68" s="19" t="n">
        <v>505</v>
      </c>
      <c r="G68" s="22" t="inlineStr">
        <is>
          <t>Средний сайт</t>
        </is>
      </c>
      <c r="H68" s="18" t="inlineStr">
        <is>
          <t>Статья / инфо</t>
        </is>
      </c>
    </row>
    <row r="69" ht="15" customHeight="1">
      <c r="A69" s="4" t="inlineStr">
        <is>
          <t>гальванические покрытия</t>
        </is>
      </c>
      <c r="B69" s="17" t="n">
        <v>8</v>
      </c>
      <c r="C69" s="4" t="inlineStr">
        <is>
          <t>https://media.coop-tech.ru/articles/tehnologiya/galvanicheskoe-pokrytie/</t>
        </is>
      </c>
      <c r="D69" s="18" t="inlineStr">
        <is>
          <t>media.coop-tech.ru</t>
        </is>
      </c>
      <c r="E69" s="17" t="n">
        <v>18</v>
      </c>
      <c r="F69" s="19" t="n">
        <v>256</v>
      </c>
      <c r="G69" s="22" t="inlineStr">
        <is>
          <t>Средний сайт</t>
        </is>
      </c>
      <c r="H69" s="18" t="inlineStr">
        <is>
          <t>Статья / инфо</t>
        </is>
      </c>
    </row>
    <row r="70" ht="15" customHeight="1">
      <c r="A70" s="4" t="inlineStr">
        <is>
          <t>гальванические покрытия</t>
        </is>
      </c>
      <c r="B70" s="17" t="n">
        <v>9</v>
      </c>
      <c r="C70" s="4" t="inlineStr">
        <is>
          <t>https://signal-spb.ru/nashi-vozmozhnosti/proizvodstvo/galvanika/</t>
        </is>
      </c>
      <c r="D70" s="18" t="inlineStr">
        <is>
          <t>signal-spb.ru</t>
        </is>
      </c>
      <c r="E70" s="17" t="n">
        <v>2.2</v>
      </c>
      <c r="F70" s="19" t="n">
        <v>14</v>
      </c>
      <c r="G70" s="23" t="inlineStr">
        <is>
          <t>Мини-сайт</t>
        </is>
      </c>
      <c r="H70" s="18" t="inlineStr">
        <is>
          <t>Услуга / каталог</t>
        </is>
      </c>
    </row>
    <row r="71" ht="15" customHeight="1">
      <c r="A71" s="4" t="inlineStr">
        <is>
          <t>гальванические покрытия</t>
        </is>
      </c>
      <c r="B71" s="17" t="n">
        <v>10</v>
      </c>
      <c r="C71" s="4" t="inlineStr">
        <is>
          <t>https://www.metiz.com.tw/plating_type.htm</t>
        </is>
      </c>
      <c r="D71" s="18" t="inlineStr">
        <is>
          <t>metiz.com.tw</t>
        </is>
      </c>
      <c r="E71" s="17" t="n">
        <v>1.8</v>
      </c>
      <c r="F71" s="19" t="n">
        <v>111</v>
      </c>
      <c r="G71" s="23" t="inlineStr">
        <is>
          <t>Мини-сайт</t>
        </is>
      </c>
      <c r="H71" s="18" t="inlineStr">
        <is>
          <t>Прочее</t>
        </is>
      </c>
    </row>
    <row r="72" ht="15" customHeight="1">
      <c r="A72" s="4" t="inlineStr">
        <is>
          <t>хромирование деталей</t>
        </is>
      </c>
      <c r="B72" s="17" t="n">
        <v>2</v>
      </c>
      <c r="C72" s="4" t="inlineStr">
        <is>
          <t>https://www.avito.ru/all?q=хромирование+деталей</t>
        </is>
      </c>
      <c r="D72" s="18" t="inlineStr">
        <is>
          <t>avito.ru</t>
        </is>
      </c>
      <c r="E72" s="17" t="n">
        <v>90</v>
      </c>
      <c r="F72" s="19" t="n"/>
      <c r="G72" s="21" t="inlineStr">
        <is>
          <t>Портал / форум / вики</t>
        </is>
      </c>
      <c r="H72" s="18" t="inlineStr">
        <is>
          <t>Прочее</t>
        </is>
      </c>
    </row>
    <row r="73" ht="15" customHeight="1">
      <c r="A73" s="4" t="inlineStr">
        <is>
          <t>хромирование деталей</t>
        </is>
      </c>
      <c r="B73" s="17" t="n">
        <v>3</v>
      </c>
      <c r="C73" s="4" t="inlineStr">
        <is>
          <t>https://inner.su/articles/khromirovanie-detali/</t>
        </is>
      </c>
      <c r="D73" s="18" t="inlineStr">
        <is>
          <t>inner.su</t>
        </is>
      </c>
      <c r="E73" s="17" t="n">
        <v>21</v>
      </c>
      <c r="F73" s="19" t="n">
        <v>13091</v>
      </c>
      <c r="G73" s="20" t="inlineStr">
        <is>
          <t>Большой сайт</t>
        </is>
      </c>
      <c r="H73" s="18" t="inlineStr">
        <is>
          <t>Статья / инфо</t>
        </is>
      </c>
    </row>
    <row r="74" ht="15" customHeight="1">
      <c r="A74" s="4" t="inlineStr">
        <is>
          <t>хромирование деталей</t>
        </is>
      </c>
      <c r="B74" s="17" t="n">
        <v>5</v>
      </c>
      <c r="C74" s="4" t="inlineStr">
        <is>
          <t>https://www.ozon.ru/category/hromirovanie/</t>
        </is>
      </c>
      <c r="D74" s="18" t="inlineStr">
        <is>
          <t>ozon.ru</t>
        </is>
      </c>
      <c r="E74" s="17" t="n">
        <v>91</v>
      </c>
      <c r="F74" s="19" t="n"/>
      <c r="G74" s="21" t="inlineStr">
        <is>
          <t>Портал / форум / вики</t>
        </is>
      </c>
      <c r="H74" s="18" t="inlineStr">
        <is>
          <t>Услуга / каталог</t>
        </is>
      </c>
    </row>
    <row r="75" ht="27" customHeight="1">
      <c r="A75" s="4" t="inlineStr">
        <is>
          <t>хромирование деталей</t>
        </is>
      </c>
      <c r="B75" s="17" t="n">
        <v>6</v>
      </c>
      <c r="C75" s="4" t="inlineStr">
        <is>
          <t>https://fusion-chrome.ru/articles/khromirovanie-i-tyuning-i-zashchita-dlya-detaley-avtomobilya/</t>
        </is>
      </c>
      <c r="D75" s="18" t="inlineStr">
        <is>
          <t>fusion-chrome.ru</t>
        </is>
      </c>
      <c r="E75" s="17" t="n">
        <v>0.2</v>
      </c>
      <c r="F75" s="19" t="n">
        <v>46</v>
      </c>
      <c r="G75" s="23" t="inlineStr">
        <is>
          <t>Мини-сайт</t>
        </is>
      </c>
      <c r="H75" s="18" t="inlineStr">
        <is>
          <t>Статья / инфо</t>
        </is>
      </c>
    </row>
    <row r="76" ht="15" customHeight="1">
      <c r="A76" s="4" t="inlineStr">
        <is>
          <t>хромирование деталей</t>
        </is>
      </c>
      <c r="B76" s="17" t="n">
        <v>7</v>
      </c>
      <c r="C76" s="4" t="inlineStr">
        <is>
          <t>https://www.cultmet.ru/goods/23811900-khromirovaniye</t>
        </is>
      </c>
      <c r="D76" s="18" t="inlineStr">
        <is>
          <t>cultmet.ru</t>
        </is>
      </c>
      <c r="E76" s="17" t="n">
        <v>0</v>
      </c>
      <c r="F76" s="19" t="n">
        <v>29</v>
      </c>
      <c r="G76" s="23" t="inlineStr">
        <is>
          <t>Мини-сайт</t>
        </is>
      </c>
      <c r="H76" s="18" t="inlineStr">
        <is>
          <t>Услуга / каталог</t>
        </is>
      </c>
    </row>
    <row r="77" ht="15" customHeight="1">
      <c r="A77" s="4" t="inlineStr">
        <is>
          <t>хромирование деталей</t>
        </is>
      </c>
      <c r="B77" s="17" t="n">
        <v>8</v>
      </c>
      <c r="C77" s="4" t="inlineStr">
        <is>
          <t>https://ru.wikipedia.org/wiki/Хромирование</t>
        </is>
      </c>
      <c r="D77" s="18" t="inlineStr">
        <is>
          <t>ru.wikipedia.org</t>
        </is>
      </c>
      <c r="E77" s="17" t="n">
        <v>97</v>
      </c>
      <c r="F77" s="19" t="n"/>
      <c r="G77" s="21" t="inlineStr">
        <is>
          <t>Портал / форум / вики</t>
        </is>
      </c>
      <c r="H77" s="18" t="inlineStr">
        <is>
          <t>Статья / инфо</t>
        </is>
      </c>
    </row>
    <row r="78" ht="15" customHeight="1">
      <c r="A78" s="4" t="inlineStr">
        <is>
          <t>хромирование деталей</t>
        </is>
      </c>
      <c r="B78" s="17" t="n">
        <v>9</v>
      </c>
      <c r="C78" s="4" t="inlineStr">
        <is>
          <t>https://www.maestro-chrome.ru/</t>
        </is>
      </c>
      <c r="D78" s="18" t="inlineStr">
        <is>
          <t>maestro-chrome.ru</t>
        </is>
      </c>
      <c r="E78" s="17" t="n">
        <v>0</v>
      </c>
      <c r="F78" s="19" t="n">
        <v>39</v>
      </c>
      <c r="G78" s="23" t="inlineStr">
        <is>
          <t>Мини-сайт</t>
        </is>
      </c>
      <c r="H78" s="18" t="inlineStr">
        <is>
          <t>Главная страница сайта</t>
        </is>
      </c>
    </row>
    <row r="79" ht="15" customHeight="1">
      <c r="A79" s="4" t="inlineStr">
        <is>
          <t>твердое хромирование</t>
        </is>
      </c>
      <c r="B79" s="17" t="n">
        <v>1</v>
      </c>
      <c r="C79" s="4" t="inlineStr">
        <is>
          <t>https://habr.com/ru/articles/988302/</t>
        </is>
      </c>
      <c r="D79" s="18" t="inlineStr">
        <is>
          <t>habr.com</t>
        </is>
      </c>
      <c r="E79" s="17" t="n">
        <v>88</v>
      </c>
      <c r="F79" s="19" t="n"/>
      <c r="G79" s="21" t="inlineStr">
        <is>
          <t>Портал / форум / вики</t>
        </is>
      </c>
      <c r="H79" s="18" t="inlineStr">
        <is>
          <t>Статья / инфо</t>
        </is>
      </c>
    </row>
    <row r="80" ht="15" customHeight="1">
      <c r="A80" s="4" t="inlineStr">
        <is>
          <t>твердое хромирование</t>
        </is>
      </c>
      <c r="B80" s="17" t="n">
        <v>2</v>
      </c>
      <c r="C80" s="4" t="inlineStr">
        <is>
          <t>https://hrom-prom.ru/твердый-хром/</t>
        </is>
      </c>
      <c r="D80" s="18" t="inlineStr">
        <is>
          <t>hrom-prom.ru</t>
        </is>
      </c>
      <c r="E80" s="17" t="n">
        <v>0.2</v>
      </c>
      <c r="F80" s="19" t="n">
        <v>69</v>
      </c>
      <c r="G80" s="23" t="inlineStr">
        <is>
          <t>Мини-сайт</t>
        </is>
      </c>
      <c r="H80" s="18" t="inlineStr">
        <is>
          <t>Услуга / каталог</t>
        </is>
      </c>
    </row>
    <row r="81" ht="27" customHeight="1">
      <c r="A81" s="4" t="inlineStr">
        <is>
          <t>твердое хромирование</t>
        </is>
      </c>
      <c r="B81" s="17" t="n">
        <v>4</v>
      </c>
      <c r="C81" s="4" t="inlineStr">
        <is>
          <t>https://urzpm.ru/uslugi/galvanicheskie-pokrytija/hromirovanie/tverdoe-hromirovanie-stali/</t>
        </is>
      </c>
      <c r="D81" s="18" t="inlineStr">
        <is>
          <t>urzpm.ru</t>
        </is>
      </c>
      <c r="E81" s="17" t="n">
        <v>0.2</v>
      </c>
      <c r="F81" s="19" t="n">
        <v>181</v>
      </c>
      <c r="G81" s="22" t="inlineStr">
        <is>
          <t>Средний сайт</t>
        </is>
      </c>
      <c r="H81" s="18" t="inlineStr">
        <is>
          <t>Услуга / каталог</t>
        </is>
      </c>
    </row>
    <row r="82" ht="15" customHeight="1">
      <c r="A82" s="4" t="inlineStr">
        <is>
          <t>твердое хромирование</t>
        </is>
      </c>
      <c r="B82" s="17" t="n">
        <v>5</v>
      </c>
      <c r="C82" s="4" t="inlineStr">
        <is>
          <t>https://zgp1.ru/assets/coat/chrome/chrome_coat.html</t>
        </is>
      </c>
      <c r="D82" s="18" t="inlineStr">
        <is>
          <t>zgp1.ru</t>
        </is>
      </c>
      <c r="E82" s="17" t="n">
        <v>4.2</v>
      </c>
      <c r="F82" s="19" t="n">
        <v>24</v>
      </c>
      <c r="G82" s="23" t="inlineStr">
        <is>
          <t>Мини-сайт</t>
        </is>
      </c>
      <c r="H82" s="18" t="inlineStr">
        <is>
          <t>Прочее</t>
        </is>
      </c>
    </row>
    <row r="83" ht="15" customHeight="1">
      <c r="A83" s="4" t="inlineStr">
        <is>
          <t>твердое хромирование</t>
        </is>
      </c>
      <c r="B83" s="17" t="n">
        <v>6</v>
      </c>
      <c r="C83" s="4" t="inlineStr">
        <is>
          <t>https://www.sdbksteel.com/ru/a-guide-to-hard-chrome-plating/</t>
        </is>
      </c>
      <c r="D83" s="18" t="inlineStr">
        <is>
          <t>sdbksteel.com</t>
        </is>
      </c>
      <c r="E83" s="17" t="n">
        <v>8</v>
      </c>
      <c r="F83" s="19" t="n">
        <v>14</v>
      </c>
      <c r="G83" s="23" t="inlineStr">
        <is>
          <t>Мини-сайт</t>
        </is>
      </c>
      <c r="H83" s="18" t="inlineStr">
        <is>
          <t>Статья / инфо</t>
        </is>
      </c>
    </row>
    <row r="84" ht="15" customHeight="1">
      <c r="A84" s="4" t="inlineStr">
        <is>
          <t>твердое хромирование</t>
        </is>
      </c>
      <c r="B84" s="17" t="n">
        <v>7</v>
      </c>
      <c r="C84" s="4" t="inlineStr">
        <is>
          <t>https://www.chipmaker.ru/topic/236695/</t>
        </is>
      </c>
      <c r="D84" s="18" t="inlineStr">
        <is>
          <t>chipmaker.ru</t>
        </is>
      </c>
      <c r="E84" s="17" t="n">
        <v>38</v>
      </c>
      <c r="F84" s="19" t="n">
        <v>4604</v>
      </c>
      <c r="G84" s="21" t="inlineStr">
        <is>
          <t>Портал / форум / вики</t>
        </is>
      </c>
      <c r="H84" s="18" t="inlineStr">
        <is>
          <t>Статья / инфо</t>
        </is>
      </c>
    </row>
    <row r="85" ht="15" customHeight="1">
      <c r="A85" s="4" t="inlineStr">
        <is>
          <t>твердое хромирование</t>
        </is>
      </c>
      <c r="B85" s="17" t="n">
        <v>8</v>
      </c>
      <c r="C85" s="4" t="inlineStr">
        <is>
          <t>https://ru.wikipedia.org/wiki/Хромирование</t>
        </is>
      </c>
      <c r="D85" s="18" t="inlineStr">
        <is>
          <t>ru.wikipedia.org</t>
        </is>
      </c>
      <c r="E85" s="17" t="n">
        <v>97</v>
      </c>
      <c r="F85" s="19" t="n"/>
      <c r="G85" s="21" t="inlineStr">
        <is>
          <t>Портал / форум / вики</t>
        </is>
      </c>
      <c r="H85" s="18" t="inlineStr">
        <is>
          <t>Статья / инфо</t>
        </is>
      </c>
    </row>
    <row r="86" ht="15" customHeight="1">
      <c r="A86" s="4" t="inlineStr">
        <is>
          <t>твердое хромирование</t>
        </is>
      </c>
      <c r="B86" s="17" t="n">
        <v>9</v>
      </c>
      <c r="C86" s="4" t="inlineStr">
        <is>
          <t>https://www.sifrainternational.com/ru/толстое-твердое-хромирование/</t>
        </is>
      </c>
      <c r="D86" s="18" t="inlineStr">
        <is>
          <t>sifrainternational.com</t>
        </is>
      </c>
      <c r="E86" s="17" t="n">
        <v>4</v>
      </c>
      <c r="F86" s="19" t="n">
        <v>1</v>
      </c>
      <c r="G86" s="23" t="inlineStr">
        <is>
          <t>Мини-сайт</t>
        </is>
      </c>
      <c r="H86" s="18" t="inlineStr">
        <is>
          <t>Прочее</t>
        </is>
      </c>
    </row>
    <row r="87" ht="15" customHeight="1">
      <c r="A87" s="4" t="inlineStr">
        <is>
          <t>твердое хромирование</t>
        </is>
      </c>
      <c r="B87" s="17" t="n">
        <v>10</v>
      </c>
      <c r="C87" s="4" t="inlineStr">
        <is>
          <t>https://galvanika-msk.com/services/hromirovanie-tverdoe/</t>
        </is>
      </c>
      <c r="D87" s="18" t="inlineStr">
        <is>
          <t>galvanika-msk.com</t>
        </is>
      </c>
      <c r="E87" s="17" t="n">
        <v>0</v>
      </c>
      <c r="F87" s="19" t="n">
        <v>12</v>
      </c>
      <c r="G87" s="23" t="inlineStr">
        <is>
          <t>Мини-сайт</t>
        </is>
      </c>
      <c r="H87" s="18" t="inlineStr">
        <is>
          <t>Услуга / каталог</t>
        </is>
      </c>
    </row>
    <row r="88" ht="15" customHeight="1">
      <c r="A88" s="4" t="inlineStr">
        <is>
          <t>никелирование</t>
        </is>
      </c>
      <c r="B88" s="17" t="n">
        <v>2</v>
      </c>
      <c r="C88" s="4" t="inlineStr">
        <is>
          <t>https://chemnikel.ru/galvanicheskoe-nikelirovanie-elektrolity-tehnologiya/</t>
        </is>
      </c>
      <c r="D88" s="18" t="inlineStr">
        <is>
          <t>chemnikel.ru</t>
        </is>
      </c>
      <c r="E88" s="17" t="n">
        <v>4.6</v>
      </c>
      <c r="F88" s="19" t="n">
        <v>53</v>
      </c>
      <c r="G88" s="23" t="inlineStr">
        <is>
          <t>Мини-сайт</t>
        </is>
      </c>
      <c r="H88" s="18" t="inlineStr">
        <is>
          <t>Прочее</t>
        </is>
      </c>
    </row>
    <row r="89" ht="27" customHeight="1">
      <c r="A89" s="4" t="inlineStr">
        <is>
          <t>никелирование</t>
        </is>
      </c>
      <c r="B89" s="17" t="n">
        <v>3</v>
      </c>
      <c r="C89" s="4" t="inlineStr">
        <is>
          <t>https://6mkm.ru/nashi-tehnologii/nikelirovanie/nikelirovanie-v-domashnih-usloviyah/</t>
        </is>
      </c>
      <c r="D89" s="18" t="inlineStr">
        <is>
          <t>6mkm.ru</t>
        </is>
      </c>
      <c r="E89" s="17" t="n">
        <v>8</v>
      </c>
      <c r="F89" s="19" t="n">
        <v>259</v>
      </c>
      <c r="G89" s="22" t="inlineStr">
        <is>
          <t>Средний сайт</t>
        </is>
      </c>
      <c r="H89" s="18" t="inlineStr">
        <is>
          <t>Статья / инфо</t>
        </is>
      </c>
    </row>
    <row r="90" ht="15" customHeight="1">
      <c r="A90" s="4" t="inlineStr">
        <is>
          <t>никелирование</t>
        </is>
      </c>
      <c r="B90" s="17" t="n">
        <v>5</v>
      </c>
      <c r="C90" s="4" t="inlineStr">
        <is>
          <t>https://pzki54.ru/stati/galvanicheskoe-pokrytie-nikelem.php</t>
        </is>
      </c>
      <c r="D90" s="18" t="inlineStr">
        <is>
          <t>pzki54.ru</t>
        </is>
      </c>
      <c r="E90" s="17" t="n">
        <v>3.3</v>
      </c>
      <c r="F90" s="19" t="n">
        <v>278</v>
      </c>
      <c r="G90" s="22" t="inlineStr">
        <is>
          <t>Средний сайт</t>
        </is>
      </c>
      <c r="H90" s="18" t="inlineStr">
        <is>
          <t>Статья / инфо</t>
        </is>
      </c>
    </row>
    <row r="91" ht="15" customHeight="1">
      <c r="A91" s="4" t="inlineStr">
        <is>
          <t>никелирование</t>
        </is>
      </c>
      <c r="B91" s="17" t="n">
        <v>6</v>
      </c>
      <c r="C91" s="4" t="inlineStr">
        <is>
          <t>https://zctc.ru/catalog/Nickelirovanie</t>
        </is>
      </c>
      <c r="D91" s="18" t="inlineStr">
        <is>
          <t>zctc.ru</t>
        </is>
      </c>
      <c r="E91" s="17" t="n">
        <v>12</v>
      </c>
      <c r="F91" s="19" t="n">
        <v>547</v>
      </c>
      <c r="G91" s="22" t="inlineStr">
        <is>
          <t>Средний сайт</t>
        </is>
      </c>
      <c r="H91" s="18" t="inlineStr">
        <is>
          <t>Услуга / каталог</t>
        </is>
      </c>
    </row>
    <row r="92" ht="15" customHeight="1">
      <c r="A92" s="4" t="inlineStr">
        <is>
          <t>никелирование</t>
        </is>
      </c>
      <c r="B92" s="17" t="n">
        <v>7</v>
      </c>
      <c r="C92" s="4" t="inlineStr">
        <is>
          <t>https://spb.hrom-prom.ru/никелирование/</t>
        </is>
      </c>
      <c r="D92" s="18" t="inlineStr">
        <is>
          <t>hrom-prom.ru</t>
        </is>
      </c>
      <c r="E92" s="17" t="n">
        <v>0.2</v>
      </c>
      <c r="F92" s="19" t="n">
        <v>69</v>
      </c>
      <c r="G92" s="23" t="inlineStr">
        <is>
          <t>Мини-сайт</t>
        </is>
      </c>
      <c r="H92" s="18" t="inlineStr">
        <is>
          <t>Услуга / каталог</t>
        </is>
      </c>
    </row>
    <row r="93" ht="15" customHeight="1">
      <c r="A93" s="4" t="inlineStr">
        <is>
          <t>никелирование</t>
        </is>
      </c>
      <c r="B93" s="17" t="n">
        <v>8</v>
      </c>
      <c r="C93" s="4" t="inlineStr">
        <is>
          <t>https://impgold.ru/electroplating/metalplating/electrolysis_nik/</t>
        </is>
      </c>
      <c r="D93" s="18" t="inlineStr">
        <is>
          <t>impgold.ru</t>
        </is>
      </c>
      <c r="E93" s="17" t="n">
        <v>1.1</v>
      </c>
      <c r="F93" s="19" t="n">
        <v>66</v>
      </c>
      <c r="G93" s="23" t="inlineStr">
        <is>
          <t>Мини-сайт</t>
        </is>
      </c>
      <c r="H93" s="18" t="inlineStr">
        <is>
          <t>Прочее</t>
        </is>
      </c>
    </row>
    <row r="94" ht="15" customHeight="1">
      <c r="A94" s="4" t="inlineStr">
        <is>
          <t>никелирование</t>
        </is>
      </c>
      <c r="B94" s="17" t="n">
        <v>9</v>
      </c>
      <c r="C94" s="4" t="inlineStr">
        <is>
          <t>https://oniks-krep.ru/blog/o-krepezhe/chto-takoe-khimicheskoe-nikelirovanie/</t>
        </is>
      </c>
      <c r="D94" s="18" t="inlineStr">
        <is>
          <t>oniks-krep.ru</t>
        </is>
      </c>
      <c r="E94" s="17" t="n">
        <v>39</v>
      </c>
      <c r="F94" s="19" t="n">
        <v>2617</v>
      </c>
      <c r="G94" s="20" t="inlineStr">
        <is>
          <t>Большой сайт</t>
        </is>
      </c>
      <c r="H94" s="18" t="inlineStr">
        <is>
          <t>Статья / инфо</t>
        </is>
      </c>
    </row>
    <row r="95" ht="15" customHeight="1">
      <c r="A95" s="4" t="inlineStr">
        <is>
          <t>электрохимическая полировка</t>
        </is>
      </c>
      <c r="B95" s="17" t="n">
        <v>2</v>
      </c>
      <c r="C95" s="4" t="inlineStr">
        <is>
          <t>https://habr.com/ru/companies/ruvds/articles/910370/</t>
        </is>
      </c>
      <c r="D95" s="18" t="inlineStr">
        <is>
          <t>habr.com</t>
        </is>
      </c>
      <c r="E95" s="17" t="n">
        <v>88</v>
      </c>
      <c r="F95" s="19" t="n"/>
      <c r="G95" s="21" t="inlineStr">
        <is>
          <t>Портал / форум / вики</t>
        </is>
      </c>
      <c r="H95" s="18" t="inlineStr">
        <is>
          <t>Статья / инфо</t>
        </is>
      </c>
    </row>
    <row r="96" ht="15" customHeight="1">
      <c r="A96" s="4" t="inlineStr">
        <is>
          <t>электрохимическая полировка</t>
        </is>
      </c>
      <c r="B96" s="17" t="n">
        <v>3</v>
      </c>
      <c r="C96" s="4" t="inlineStr">
        <is>
          <t>https://platings.ru/polish_ssteel</t>
        </is>
      </c>
      <c r="D96" s="18" t="inlineStr">
        <is>
          <t>platings.ru</t>
        </is>
      </c>
      <c r="E96" s="17" t="n">
        <v>0.3</v>
      </c>
      <c r="F96" s="19" t="n">
        <v>65</v>
      </c>
      <c r="G96" s="23" t="inlineStr">
        <is>
          <t>Мини-сайт</t>
        </is>
      </c>
      <c r="H96" s="18" t="inlineStr">
        <is>
          <t>Услуга / каталог</t>
        </is>
      </c>
    </row>
    <row r="97" ht="15" customHeight="1">
      <c r="A97" s="4" t="inlineStr">
        <is>
          <t>электрохимическая полировка</t>
        </is>
      </c>
      <c r="B97" s="17" t="n">
        <v>5</v>
      </c>
      <c r="C97" s="4" t="inlineStr">
        <is>
          <t>https://vladresurs.ru/elektrohimicheskaya-polirovka-stali</t>
        </is>
      </c>
      <c r="D97" s="18" t="inlineStr">
        <is>
          <t>vladresurs.ru</t>
        </is>
      </c>
      <c r="E97" s="17" t="n">
        <v>21</v>
      </c>
      <c r="F97" s="19" t="n">
        <v>119</v>
      </c>
      <c r="G97" s="23" t="inlineStr">
        <is>
          <t>Мини-сайт</t>
        </is>
      </c>
      <c r="H97" s="18" t="inlineStr">
        <is>
          <t>Услуга / каталог</t>
        </is>
      </c>
    </row>
    <row r="98" ht="27" customHeight="1">
      <c r="A98" s="4" t="inlineStr">
        <is>
          <t>электрохимическая полировка</t>
        </is>
      </c>
      <c r="B98" s="17" t="n">
        <v>6</v>
      </c>
      <c r="C98" s="4" t="inlineStr">
        <is>
          <t>https://ooomedikon.ru/articles/elektrokhimicheskaya-polirovka-nerzhaveyushchey-stali-chto-eto/</t>
        </is>
      </c>
      <c r="D98" s="18" t="inlineStr">
        <is>
          <t>ooomedikon.ru</t>
        </is>
      </c>
      <c r="E98" s="17" t="n">
        <v>13</v>
      </c>
      <c r="F98" s="19" t="n">
        <v>276</v>
      </c>
      <c r="G98" s="22" t="inlineStr">
        <is>
          <t>Средний сайт</t>
        </is>
      </c>
      <c r="H98" s="18" t="inlineStr">
        <is>
          <t>Статья / инфо</t>
        </is>
      </c>
    </row>
    <row r="99" ht="15" customHeight="1">
      <c r="A99" s="4" t="inlineStr">
        <is>
          <t>электрохимическая полировка</t>
        </is>
      </c>
      <c r="B99" s="17" t="n">
        <v>7</v>
      </c>
      <c r="C99" s="4" t="inlineStr">
        <is>
          <t>https://www.chipmaker.ru/topic/55/</t>
        </is>
      </c>
      <c r="D99" s="18" t="inlineStr">
        <is>
          <t>chipmaker.ru</t>
        </is>
      </c>
      <c r="E99" s="17" t="n">
        <v>38</v>
      </c>
      <c r="F99" s="19" t="n">
        <v>4604</v>
      </c>
      <c r="G99" s="21" t="inlineStr">
        <is>
          <t>Портал / форум / вики</t>
        </is>
      </c>
      <c r="H99" s="18" t="inlineStr">
        <is>
          <t>Статья / инфо</t>
        </is>
      </c>
    </row>
    <row r="100" ht="15" customHeight="1">
      <c r="A100" s="4" t="inlineStr">
        <is>
          <t>электрохимическая полировка</t>
        </is>
      </c>
      <c r="B100" s="17" t="n">
        <v>8</v>
      </c>
      <c r="C100" s="4" t="inlineStr">
        <is>
          <t>https://www.sapphire.ru/categories/elektrokhimicheskaya-polirovka-otes-epag-1</t>
        </is>
      </c>
      <c r="D100" s="18" t="inlineStr">
        <is>
          <t>sapphire.ru</t>
        </is>
      </c>
      <c r="E100" s="17" t="n">
        <v>21</v>
      </c>
      <c r="F100" s="19" t="n">
        <v>385</v>
      </c>
      <c r="G100" s="22" t="inlineStr">
        <is>
          <t>Средний сайт</t>
        </is>
      </c>
      <c r="H100" s="18" t="inlineStr">
        <is>
          <t>Услуга / каталог</t>
        </is>
      </c>
    </row>
    <row r="101" ht="15" customHeight="1">
      <c r="A101" s="4" t="inlineStr">
        <is>
          <t>электрохимическая полировка</t>
        </is>
      </c>
      <c r="B101" s="17" t="n">
        <v>9</v>
      </c>
      <c r="C101" s="4" t="inlineStr">
        <is>
          <t>https://zctc.ru/sections/tehnologiya-processa-polirovaniya-nerjavejki</t>
        </is>
      </c>
      <c r="D101" s="18" t="inlineStr">
        <is>
          <t>zctc.ru</t>
        </is>
      </c>
      <c r="E101" s="17" t="n">
        <v>12</v>
      </c>
      <c r="F101" s="19" t="n">
        <v>547</v>
      </c>
      <c r="G101" s="22" t="inlineStr">
        <is>
          <t>Средний сайт</t>
        </is>
      </c>
      <c r="H101" s="18" t="inlineStr">
        <is>
          <t>Услуга / каталог</t>
        </is>
      </c>
    </row>
    <row r="102" ht="15" customHeight="1">
      <c r="A102" s="4" t="inlineStr">
        <is>
          <t>оксидирование стали</t>
        </is>
      </c>
      <c r="B102" s="17" t="n">
        <v>1</v>
      </c>
      <c r="C102" s="4" t="inlineStr">
        <is>
          <t>https://smetiz.ru/tekhnicheskaya-informaciya/pokrytiya/oksidirovanie/</t>
        </is>
      </c>
      <c r="D102" s="18" t="inlineStr">
        <is>
          <t>smetiz.ru</t>
        </is>
      </c>
      <c r="E102" s="17" t="n">
        <v>10</v>
      </c>
      <c r="F102" s="19" t="n">
        <v>704</v>
      </c>
      <c r="G102" s="22" t="inlineStr">
        <is>
          <t>Средний сайт</t>
        </is>
      </c>
      <c r="H102" s="18" t="inlineStr">
        <is>
          <t>Статья / инфо</t>
        </is>
      </c>
    </row>
    <row r="103" ht="15" customHeight="1">
      <c r="A103" s="4" t="inlineStr">
        <is>
          <t>оксидирование стали</t>
        </is>
      </c>
      <c r="B103" s="17" t="n">
        <v>3</v>
      </c>
      <c r="C103" s="4" t="inlineStr">
        <is>
          <t>https://vt-metall.ru/articles/893-oksidirovanie-metalla/</t>
        </is>
      </c>
      <c r="D103" s="18" t="inlineStr">
        <is>
          <t>vt-metall.ru</t>
        </is>
      </c>
      <c r="E103" s="17" t="n">
        <v>26</v>
      </c>
      <c r="F103" s="19" t="n">
        <v>1930</v>
      </c>
      <c r="G103" s="20" t="inlineStr">
        <is>
          <t>Большой сайт</t>
        </is>
      </c>
      <c r="H103" s="18" t="inlineStr">
        <is>
          <t>Статья / инфо</t>
        </is>
      </c>
    </row>
    <row r="104" ht="15" customHeight="1">
      <c r="A104" s="4" t="inlineStr">
        <is>
          <t>оксидирование стали</t>
        </is>
      </c>
      <c r="B104" s="17" t="n">
        <v>4</v>
      </c>
      <c r="C104" s="4" t="inlineStr">
        <is>
          <t>https://vskplast.ru/oksidirovanie/</t>
        </is>
      </c>
      <c r="D104" s="18" t="inlineStr">
        <is>
          <t>vskplast.ru</t>
        </is>
      </c>
      <c r="E104" s="17" t="n">
        <v>0</v>
      </c>
      <c r="F104" s="19" t="n">
        <v>80</v>
      </c>
      <c r="G104" s="23" t="inlineStr">
        <is>
          <t>Мини-сайт</t>
        </is>
      </c>
      <c r="H104" s="18" t="inlineStr">
        <is>
          <t>Услуга / каталог</t>
        </is>
      </c>
    </row>
    <row r="105" ht="15" customHeight="1">
      <c r="A105" s="4" t="inlineStr">
        <is>
          <t>оксидирование стали</t>
        </is>
      </c>
      <c r="B105" s="17" t="n">
        <v>5</v>
      </c>
      <c r="C105" s="4" t="inlineStr">
        <is>
          <t>https://zctc.ru/sections/chim_cherneniye_stali</t>
        </is>
      </c>
      <c r="D105" s="18" t="inlineStr">
        <is>
          <t>zctc.ru</t>
        </is>
      </c>
      <c r="E105" s="17" t="n">
        <v>12</v>
      </c>
      <c r="F105" s="19" t="n">
        <v>547</v>
      </c>
      <c r="G105" s="22" t="inlineStr">
        <is>
          <t>Средний сайт</t>
        </is>
      </c>
      <c r="H105" s="18" t="inlineStr">
        <is>
          <t>Услуга / каталог</t>
        </is>
      </c>
    </row>
    <row r="106" ht="15" customHeight="1">
      <c r="A106" s="4" t="inlineStr">
        <is>
          <t>оксидирование стали</t>
        </is>
      </c>
      <c r="B106" s="17" t="n">
        <v>6</v>
      </c>
      <c r="C106" s="4" t="inlineStr">
        <is>
          <t>https://impgold.ru/introduce/book/2_1/</t>
        </is>
      </c>
      <c r="D106" s="18" t="inlineStr">
        <is>
          <t>impgold.ru</t>
        </is>
      </c>
      <c r="E106" s="17" t="n">
        <v>1.1</v>
      </c>
      <c r="F106" s="19" t="n">
        <v>66</v>
      </c>
      <c r="G106" s="23" t="inlineStr">
        <is>
          <t>Мини-сайт</t>
        </is>
      </c>
      <c r="H106" s="18" t="inlineStr">
        <is>
          <t>Статья / инфо</t>
        </is>
      </c>
    </row>
    <row r="107" ht="15" customHeight="1">
      <c r="A107" s="4" t="inlineStr">
        <is>
          <t>оксидирование стали</t>
        </is>
      </c>
      <c r="B107" s="17" t="n">
        <v>7</v>
      </c>
      <c r="C107" s="4" t="inlineStr">
        <is>
          <t>https://ptzem.ru/services/galvanoobrabotka/oksidirovanie/</t>
        </is>
      </c>
      <c r="D107" s="18" t="inlineStr">
        <is>
          <t>ptzem.ru</t>
        </is>
      </c>
      <c r="E107" s="17" t="n">
        <v>0</v>
      </c>
      <c r="F107" s="19" t="n">
        <v>45</v>
      </c>
      <c r="G107" s="23" t="inlineStr">
        <is>
          <t>Мини-сайт</t>
        </is>
      </c>
      <c r="H107" s="18" t="inlineStr">
        <is>
          <t>Услуга / каталог</t>
        </is>
      </c>
    </row>
    <row r="108" ht="27" customHeight="1">
      <c r="A108" s="4" t="inlineStr">
        <is>
          <t>оксидирование стали</t>
        </is>
      </c>
      <c r="B108" s="17" t="n">
        <v>8</v>
      </c>
      <c r="C108" s="4" t="inlineStr">
        <is>
          <t>https://dtechno-laser.ru/articles/oksidirovanie-metalla-v-promyshlennykh-i-domashnikh-usloviyakh/</t>
        </is>
      </c>
      <c r="D108" s="18" t="inlineStr">
        <is>
          <t>dtechno-laser.ru</t>
        </is>
      </c>
      <c r="E108" s="17" t="n">
        <v>14</v>
      </c>
      <c r="F108" s="19" t="n">
        <v>350</v>
      </c>
      <c r="G108" s="22" t="inlineStr">
        <is>
          <t>Средний сайт</t>
        </is>
      </c>
      <c r="H108" s="18" t="inlineStr">
        <is>
          <t>Статья / инфо</t>
        </is>
      </c>
    </row>
    <row r="109" ht="15" customHeight="1">
      <c r="A109" s="4" t="inlineStr">
        <is>
          <t>оксидирование стали</t>
        </is>
      </c>
      <c r="B109" s="17" t="n">
        <v>9</v>
      </c>
      <c r="C109" s="4" t="inlineStr">
        <is>
          <t>https://www.cultmet.ru/goods/23809087-khimicheskoye_oxidirovaniye</t>
        </is>
      </c>
      <c r="D109" s="18" t="inlineStr">
        <is>
          <t>cultmet.ru</t>
        </is>
      </c>
      <c r="E109" s="17" t="n">
        <v>0</v>
      </c>
      <c r="F109" s="19" t="n">
        <v>29</v>
      </c>
      <c r="G109" s="23" t="inlineStr">
        <is>
          <t>Мини-сайт</t>
        </is>
      </c>
      <c r="H109" s="18" t="inlineStr">
        <is>
          <t>Услуга / каталог</t>
        </is>
      </c>
    </row>
    <row r="110" ht="15" customHeight="1">
      <c r="A110" s="4" t="inlineStr">
        <is>
          <t>оксидирование стали</t>
        </is>
      </c>
      <c r="B110" s="17" t="n">
        <v>10</v>
      </c>
      <c r="C110" s="4" t="inlineStr">
        <is>
          <t>https://ru.wikipedia.org/wiki/Воронение_стали</t>
        </is>
      </c>
      <c r="D110" s="18" t="inlineStr">
        <is>
          <t>ru.wikipedia.org</t>
        </is>
      </c>
      <c r="E110" s="17" t="n">
        <v>97</v>
      </c>
      <c r="F110" s="19" t="n"/>
      <c r="G110" s="21" t="inlineStr">
        <is>
          <t>Портал / форум / вики</t>
        </is>
      </c>
      <c r="H110" s="18" t="inlineStr">
        <is>
          <t>Статья / инфо</t>
        </is>
      </c>
    </row>
    <row r="111" ht="15" customHeight="1">
      <c r="A111" s="4" t="inlineStr">
        <is>
          <t>фосфатирование металла</t>
        </is>
      </c>
      <c r="B111" s="17" t="n">
        <v>2</v>
      </c>
      <c r="C111" s="4" t="inlineStr">
        <is>
          <t>https://smetiz.ru/tekhnicheskaya-informaciya/pokrytiya/fosfatirovanie/</t>
        </is>
      </c>
      <c r="D111" s="18" t="inlineStr">
        <is>
          <t>smetiz.ru</t>
        </is>
      </c>
      <c r="E111" s="17" t="n">
        <v>10</v>
      </c>
      <c r="F111" s="19" t="n">
        <v>704</v>
      </c>
      <c r="G111" s="22" t="inlineStr">
        <is>
          <t>Средний сайт</t>
        </is>
      </c>
      <c r="H111" s="18" t="inlineStr">
        <is>
          <t>Статья / инфо</t>
        </is>
      </c>
    </row>
    <row r="112" ht="15" customHeight="1">
      <c r="A112" s="4" t="inlineStr">
        <is>
          <t>фосфатирование металла</t>
        </is>
      </c>
      <c r="B112" s="17" t="n">
        <v>4</v>
      </c>
      <c r="C112" s="4" t="inlineStr">
        <is>
          <t>https://ru.wikipedia.org/wiki/Фосфатирование</t>
        </is>
      </c>
      <c r="D112" s="18" t="inlineStr">
        <is>
          <t>ru.wikipedia.org</t>
        </is>
      </c>
      <c r="E112" s="17" t="n">
        <v>97</v>
      </c>
      <c r="F112" s="19" t="n"/>
      <c r="G112" s="21" t="inlineStr">
        <is>
          <t>Портал / форум / вики</t>
        </is>
      </c>
      <c r="H112" s="18" t="inlineStr">
        <is>
          <t>Статья / инфо</t>
        </is>
      </c>
    </row>
    <row r="113" ht="27" customHeight="1">
      <c r="A113" s="4" t="inlineStr">
        <is>
          <t>фосфатирование металла</t>
        </is>
      </c>
      <c r="B113" s="17" t="n">
        <v>5</v>
      </c>
      <c r="C113" s="4" t="inlineStr">
        <is>
          <t>https://profdek.ru/blog/fosfatirovanie-metalla-pered-pokraskoj-poroshkovoj-kraskoj</t>
        </is>
      </c>
      <c r="D113" s="18" t="inlineStr">
        <is>
          <t>profdek.ru</t>
        </is>
      </c>
      <c r="E113" s="17" t="n">
        <v>13</v>
      </c>
      <c r="F113" s="19" t="n">
        <v>480</v>
      </c>
      <c r="G113" s="22" t="inlineStr">
        <is>
          <t>Средний сайт</t>
        </is>
      </c>
      <c r="H113" s="18" t="inlineStr">
        <is>
          <t>Статья / инфо</t>
        </is>
      </c>
    </row>
    <row r="114" ht="15" customHeight="1">
      <c r="A114" s="4" t="inlineStr">
        <is>
          <t>фосфатирование металла</t>
        </is>
      </c>
      <c r="B114" s="17" t="n">
        <v>6</v>
      </c>
      <c r="C114" s="4" t="inlineStr">
        <is>
          <t>https://www.drive2.ru/b/500032325740921005/</t>
        </is>
      </c>
      <c r="D114" s="18" t="inlineStr">
        <is>
          <t>drive2.ru</t>
        </is>
      </c>
      <c r="E114" s="17" t="n">
        <v>79</v>
      </c>
      <c r="F114" s="19" t="n"/>
      <c r="G114" s="21" t="inlineStr">
        <is>
          <t>Портал / форум / вики</t>
        </is>
      </c>
      <c r="H114" s="18" t="inlineStr">
        <is>
          <t>Прочее</t>
        </is>
      </c>
    </row>
    <row r="115" ht="27" customHeight="1">
      <c r="A115" s="4" t="inlineStr">
        <is>
          <t>фосфатирование металла</t>
        </is>
      </c>
      <c r="B115" s="17" t="n">
        <v>7</v>
      </c>
      <c r="C115" s="4" t="inlineStr">
        <is>
          <t>https://technoline-group.ru/articles/podgotovka-metalla/vidy-fosfatirovaniya-i-ikh-primenenie/</t>
        </is>
      </c>
      <c r="D115" s="18" t="inlineStr">
        <is>
          <t>technoline-group.ru</t>
        </is>
      </c>
      <c r="E115" s="17" t="n">
        <v>0.1</v>
      </c>
      <c r="F115" s="19" t="n">
        <v>43</v>
      </c>
      <c r="G115" s="23" t="inlineStr">
        <is>
          <t>Мини-сайт</t>
        </is>
      </c>
      <c r="H115" s="18" t="inlineStr">
        <is>
          <t>Статья / инфо</t>
        </is>
      </c>
    </row>
    <row r="116" ht="15" customHeight="1">
      <c r="A116" s="4" t="inlineStr">
        <is>
          <t>фосфатирование металла</t>
        </is>
      </c>
      <c r="B116" s="17" t="n">
        <v>8</v>
      </c>
      <c r="C116" s="4" t="inlineStr">
        <is>
          <t>https://vskplast.ru/fosfotirovanie/</t>
        </is>
      </c>
      <c r="D116" s="18" t="inlineStr">
        <is>
          <t>vskplast.ru</t>
        </is>
      </c>
      <c r="E116" s="17" t="n">
        <v>0</v>
      </c>
      <c r="F116" s="19" t="n">
        <v>80</v>
      </c>
      <c r="G116" s="23" t="inlineStr">
        <is>
          <t>Мини-сайт</t>
        </is>
      </c>
      <c r="H116" s="18" t="inlineStr">
        <is>
          <t>Услуга / каталог</t>
        </is>
      </c>
    </row>
    <row r="117" ht="15" customHeight="1">
      <c r="A117" s="4" t="inlineStr">
        <is>
          <t>фосфатирование металла</t>
        </is>
      </c>
      <c r="B117" s="17" t="n">
        <v>9</v>
      </c>
      <c r="C117" s="4" t="inlineStr">
        <is>
          <t>https://zctc.ru/sections/tehnologicheskij_process_fosfatirovaniya</t>
        </is>
      </c>
      <c r="D117" s="18" t="inlineStr">
        <is>
          <t>zctc.ru</t>
        </is>
      </c>
      <c r="E117" s="17" t="n">
        <v>12</v>
      </c>
      <c r="F117" s="19" t="n">
        <v>547</v>
      </c>
      <c r="G117" s="22" t="inlineStr">
        <is>
          <t>Средний сайт</t>
        </is>
      </c>
      <c r="H117" s="18" t="inlineStr">
        <is>
          <t>Услуга / каталог</t>
        </is>
      </c>
    </row>
    <row r="118" ht="27" customHeight="1">
      <c r="A118" s="4" t="inlineStr">
        <is>
          <t>фосфатирование металла</t>
        </is>
      </c>
      <c r="B118" s="17" t="n">
        <v>10</v>
      </c>
      <c r="C118" s="4" t="inlineStr">
        <is>
          <t>https://science.kuzstu.ru/wp-content/Events/Conference/HIHT/2018/HIHT/pages/Articles/621.pdf</t>
        </is>
      </c>
      <c r="D118" s="18" t="inlineStr">
        <is>
          <t>science.kuzstu.ru</t>
        </is>
      </c>
      <c r="E118" s="17" t="n">
        <v>49</v>
      </c>
      <c r="F118" s="19" t="n"/>
      <c r="G118" s="21" t="inlineStr">
        <is>
          <t>Портал / форум / вики</t>
        </is>
      </c>
      <c r="H118" s="18" t="inlineStr">
        <is>
          <t>Статья / инфо</t>
        </is>
      </c>
    </row>
    <row r="119" ht="15" customHeight="1">
      <c r="A119" s="4" t="inlineStr">
        <is>
          <t>анодирование титана</t>
        </is>
      </c>
      <c r="B119" s="17" t="n">
        <v>2</v>
      </c>
      <c r="C119" s="4" t="inlineStr">
        <is>
          <t>https://zctc.ru/sections/anodirovanie-titana</t>
        </is>
      </c>
      <c r="D119" s="18" t="inlineStr">
        <is>
          <t>zctc.ru</t>
        </is>
      </c>
      <c r="E119" s="17" t="n">
        <v>12</v>
      </c>
      <c r="F119" s="19" t="n">
        <v>547</v>
      </c>
      <c r="G119" s="22" t="inlineStr">
        <is>
          <t>Средний сайт</t>
        </is>
      </c>
      <c r="H119" s="18" t="inlineStr">
        <is>
          <t>Услуга / каталог</t>
        </is>
      </c>
    </row>
    <row r="120" ht="15" customHeight="1">
      <c r="A120" s="4" t="inlineStr">
        <is>
          <t>анодирование титана</t>
        </is>
      </c>
      <c r="B120" s="17" t="n">
        <v>4</v>
      </c>
      <c r="C120" s="4" t="inlineStr">
        <is>
          <t>https://inner.su/Блог/Познавательное</t>
        </is>
      </c>
      <c r="D120" s="18" t="inlineStr">
        <is>
          <t>inner.su</t>
        </is>
      </c>
      <c r="E120" s="17" t="n">
        <v>21</v>
      </c>
      <c r="F120" s="19" t="n">
        <v>13091</v>
      </c>
      <c r="G120" s="20" t="inlineStr">
        <is>
          <t>Большой сайт</t>
        </is>
      </c>
      <c r="H120" s="18" t="inlineStr">
        <is>
          <t>Статья / инфо</t>
        </is>
      </c>
    </row>
    <row r="121" ht="15" customHeight="1">
      <c r="A121" s="4" t="inlineStr">
        <is>
          <t>анодирование титана</t>
        </is>
      </c>
      <c r="B121" s="17" t="n">
        <v>5</v>
      </c>
      <c r="C121" s="4" t="inlineStr">
        <is>
          <t>https://forum.guns.ru/</t>
        </is>
      </c>
      <c r="D121" s="18" t="inlineStr">
        <is>
          <t>forum.guns.ru</t>
        </is>
      </c>
      <c r="E121" s="17" t="n">
        <v>67</v>
      </c>
      <c r="F121" s="19" t="n"/>
      <c r="G121" s="21" t="inlineStr">
        <is>
          <t>Портал / форум / вики</t>
        </is>
      </c>
      <c r="H121" s="18" t="inlineStr">
        <is>
          <t>Главная страница сайта</t>
        </is>
      </c>
    </row>
    <row r="122" ht="15" customHeight="1">
      <c r="A122" s="4" t="inlineStr">
        <is>
          <t>анодирование титана</t>
        </is>
      </c>
      <c r="B122" s="17" t="n">
        <v>6</v>
      </c>
      <c r="C122" s="4" t="inlineStr">
        <is>
          <t>https://friendsonly.ru/anodise</t>
        </is>
      </c>
      <c r="D122" s="18" t="inlineStr">
        <is>
          <t>friendsonly.ru</t>
        </is>
      </c>
      <c r="E122" s="17" t="n">
        <v>1</v>
      </c>
      <c r="F122" s="19" t="n">
        <v>101</v>
      </c>
      <c r="G122" s="23" t="inlineStr">
        <is>
          <t>Мини-сайт</t>
        </is>
      </c>
      <c r="H122" s="18" t="inlineStr">
        <is>
          <t>Услуга / каталог</t>
        </is>
      </c>
    </row>
    <row r="123" ht="15" customHeight="1">
      <c r="A123" s="4" t="inlineStr">
        <is>
          <t>анодирование титана</t>
        </is>
      </c>
      <c r="B123" s="17" t="n">
        <v>7</v>
      </c>
      <c r="C123" s="4" t="inlineStr">
        <is>
          <t>https://vk.com/wall-51126445_149263</t>
        </is>
      </c>
      <c r="D123" s="18" t="inlineStr">
        <is>
          <t>vk.com</t>
        </is>
      </c>
      <c r="E123" s="17" t="n">
        <v>95</v>
      </c>
      <c r="F123" s="19" t="n"/>
      <c r="G123" s="21" t="inlineStr">
        <is>
          <t>Портал / форум / вики</t>
        </is>
      </c>
      <c r="H123" s="18" t="inlineStr">
        <is>
          <t>Прочее</t>
        </is>
      </c>
    </row>
    <row r="124" ht="15" customHeight="1">
      <c r="A124" s="4" t="inlineStr">
        <is>
          <t>анодирование титана</t>
        </is>
      </c>
      <c r="B124" s="17" t="n">
        <v>8</v>
      </c>
      <c r="C124" s="4" t="inlineStr">
        <is>
          <t>https://www.google.com/goto (переход)</t>
        </is>
      </c>
      <c r="D124" s="18" t="inlineStr">
        <is>
          <t>google.com</t>
        </is>
      </c>
      <c r="E124" s="17" t="n">
        <v>99</v>
      </c>
      <c r="F124" s="19" t="n"/>
      <c r="G124" s="21" t="inlineStr">
        <is>
          <t>Портал / форум / вики</t>
        </is>
      </c>
      <c r="H124" s="18" t="inlineStr">
        <is>
          <t>Прочее</t>
        </is>
      </c>
    </row>
    <row r="125" ht="15" customHeight="1">
      <c r="A125" s="4" t="inlineStr">
        <is>
          <t>анодирование титана</t>
        </is>
      </c>
      <c r="B125" s="17" t="n">
        <v>9</v>
      </c>
      <c r="C125" s="4" t="inlineStr">
        <is>
          <t>https://arbormanufactory.ru/tsveta-titana</t>
        </is>
      </c>
      <c r="D125" s="18" t="inlineStr">
        <is>
          <t>arbormanufactory.ru</t>
        </is>
      </c>
      <c r="E125" s="17" t="n">
        <v>6</v>
      </c>
      <c r="F125" s="19" t="n">
        <v>16</v>
      </c>
      <c r="G125" s="23" t="inlineStr">
        <is>
          <t>Мини-сайт</t>
        </is>
      </c>
      <c r="H125" s="18" t="inlineStr">
        <is>
          <t>Услуга / каталог</t>
        </is>
      </c>
    </row>
    <row r="126" ht="15" customHeight="1">
      <c r="A126" s="4" t="inlineStr">
        <is>
          <t>анодирование титана</t>
        </is>
      </c>
      <c r="B126" s="17" t="n">
        <v>10</v>
      </c>
      <c r="C126" s="4" t="inlineStr">
        <is>
          <t>https://metallps.ru/anodirovanie-titana</t>
        </is>
      </c>
      <c r="D126" s="18" t="inlineStr">
        <is>
          <t>metallps.ru</t>
        </is>
      </c>
      <c r="E126" s="17" t="n">
        <v>0</v>
      </c>
      <c r="F126" s="19" t="n">
        <v>118</v>
      </c>
      <c r="G126" s="23" t="inlineStr">
        <is>
          <t>Мини-сайт</t>
        </is>
      </c>
      <c r="H126" s="18" t="inlineStr">
        <is>
          <t>Услуга / каталог</t>
        </is>
      </c>
    </row>
    <row r="127" ht="15" customHeight="1">
      <c r="A127" s="4" t="inlineStr">
        <is>
          <t>гальваническое серебрение</t>
        </is>
      </c>
      <c r="B127" s="17" t="n">
        <v>1</v>
      </c>
      <c r="C127" s="4" t="inlineStr">
        <is>
          <t>https://6mkm.ru/serebrenie-v-domashnih-usloviyah/</t>
        </is>
      </c>
      <c r="D127" s="18" t="inlineStr">
        <is>
          <t>6mkm.ru</t>
        </is>
      </c>
      <c r="E127" s="17" t="n">
        <v>8</v>
      </c>
      <c r="F127" s="19" t="n">
        <v>259</v>
      </c>
      <c r="G127" s="22" t="inlineStr">
        <is>
          <t>Средний сайт</t>
        </is>
      </c>
      <c r="H127" s="18" t="inlineStr">
        <is>
          <t>Статья / инфо</t>
        </is>
      </c>
    </row>
    <row r="128" ht="15" customHeight="1">
      <c r="A128" s="4" t="inlineStr">
        <is>
          <t>гальваническое серебрение</t>
        </is>
      </c>
      <c r="B128" s="17" t="n">
        <v>2</v>
      </c>
      <c r="C128" s="4" t="inlineStr">
        <is>
          <t>https://plast-product.ru/galvanicheskoe-serebrenie/</t>
        </is>
      </c>
      <c r="D128" s="18" t="inlineStr">
        <is>
          <t>plast-product.ru</t>
        </is>
      </c>
      <c r="E128" s="17" t="n">
        <v>4.4</v>
      </c>
      <c r="F128" s="19" t="n">
        <v>141</v>
      </c>
      <c r="G128" s="23" t="inlineStr">
        <is>
          <t>Мини-сайт</t>
        </is>
      </c>
      <c r="H128" s="18" t="inlineStr">
        <is>
          <t>Услуга / каталог</t>
        </is>
      </c>
    </row>
    <row r="129" ht="15" customHeight="1">
      <c r="A129" s="4" t="inlineStr">
        <is>
          <t>гальваническое серебрение</t>
        </is>
      </c>
      <c r="B129" s="17" t="n">
        <v>3</v>
      </c>
      <c r="C129" s="4" t="inlineStr">
        <is>
          <t>https://kaas.spb.ru/serebrenie/</t>
        </is>
      </c>
      <c r="D129" s="18" t="inlineStr">
        <is>
          <t>kaas.spb.ru</t>
        </is>
      </c>
      <c r="E129" s="17" t="n">
        <v>88</v>
      </c>
      <c r="F129" s="19" t="n">
        <v>12</v>
      </c>
      <c r="G129" s="23" t="inlineStr">
        <is>
          <t>Мини-сайт</t>
        </is>
      </c>
      <c r="H129" s="18" t="inlineStr">
        <is>
          <t>Услуга / каталог</t>
        </is>
      </c>
    </row>
    <row r="130" ht="15" customHeight="1">
      <c r="A130" s="4" t="inlineStr">
        <is>
          <t>гальваническое серебрение</t>
        </is>
      </c>
      <c r="B130" s="17" t="n">
        <v>5</v>
      </c>
      <c r="C130" s="4" t="inlineStr">
        <is>
          <t>https://ntmsp.ru/serebrenie/</t>
        </is>
      </c>
      <c r="D130" s="18" t="inlineStr">
        <is>
          <t>ntmsp.ru</t>
        </is>
      </c>
      <c r="E130" s="17" t="n">
        <v>26</v>
      </c>
      <c r="F130" s="19" t="n">
        <v>83</v>
      </c>
      <c r="G130" s="23" t="inlineStr">
        <is>
          <t>Мини-сайт</t>
        </is>
      </c>
      <c r="H130" s="18" t="inlineStr">
        <is>
          <t>Услуга / каталог</t>
        </is>
      </c>
    </row>
    <row r="131" ht="15" customHeight="1">
      <c r="A131" s="4" t="inlineStr">
        <is>
          <t>гальваническое серебрение</t>
        </is>
      </c>
      <c r="B131" s="17" t="n">
        <v>6</v>
      </c>
      <c r="C131" s="4" t="inlineStr">
        <is>
          <t>https://funchrome.ru/product/serebreniye-medi-bronzy-latuni/</t>
        </is>
      </c>
      <c r="D131" s="18" t="inlineStr">
        <is>
          <t>funchrome.ru</t>
        </is>
      </c>
      <c r="E131" s="17" t="n">
        <v>0</v>
      </c>
      <c r="F131" s="19" t="n">
        <v>79</v>
      </c>
      <c r="G131" s="23" t="inlineStr">
        <is>
          <t>Мини-сайт</t>
        </is>
      </c>
      <c r="H131" s="18" t="inlineStr">
        <is>
          <t>Услуга / каталог</t>
        </is>
      </c>
    </row>
    <row r="132" ht="15" customHeight="1">
      <c r="A132" s="4" t="inlineStr">
        <is>
          <t>гальваническое серебрение</t>
        </is>
      </c>
      <c r="B132" s="17" t="n">
        <v>7</v>
      </c>
      <c r="C132" s="4" t="inlineStr">
        <is>
          <t>https://pjew.ru/galvanika/cherkovnaya/services/serebrenie/</t>
        </is>
      </c>
      <c r="D132" s="18" t="inlineStr">
        <is>
          <t>pjew.ru</t>
        </is>
      </c>
      <c r="E132" s="17" t="n">
        <v>2.1</v>
      </c>
      <c r="F132" s="19" t="n">
        <v>29</v>
      </c>
      <c r="G132" s="23" t="inlineStr">
        <is>
          <t>Мини-сайт</t>
        </is>
      </c>
      <c r="H132" s="18" t="inlineStr">
        <is>
          <t>Услуга / каталог</t>
        </is>
      </c>
    </row>
    <row r="133" ht="15" customHeight="1">
      <c r="A133" s="4" t="inlineStr">
        <is>
          <t>гальваническое серебрение</t>
        </is>
      </c>
      <c r="B133" s="17" t="n">
        <v>8</v>
      </c>
      <c r="C133" s="4" t="inlineStr">
        <is>
          <t>https://vskplast.ru/serebrenie_galvanicheskoe/</t>
        </is>
      </c>
      <c r="D133" s="18" t="inlineStr">
        <is>
          <t>vskplast.ru</t>
        </is>
      </c>
      <c r="E133" s="17" t="n">
        <v>0</v>
      </c>
      <c r="F133" s="19" t="n">
        <v>80</v>
      </c>
      <c r="G133" s="23" t="inlineStr">
        <is>
          <t>Мини-сайт</t>
        </is>
      </c>
      <c r="H133" s="18" t="inlineStr">
        <is>
          <t>Услуга / каталог</t>
        </is>
      </c>
    </row>
    <row r="134" ht="15" customHeight="1">
      <c r="A134" s="4" t="inlineStr">
        <is>
          <t>гальваническое серебрение</t>
        </is>
      </c>
      <c r="B134" s="17" t="n">
        <v>9</v>
      </c>
      <c r="C134" s="4" t="inlineStr">
        <is>
          <t>https://chemport.ru/forum/viewtopic.php?t=5954</t>
        </is>
      </c>
      <c r="D134" s="18" t="inlineStr">
        <is>
          <t>chemport.ru</t>
        </is>
      </c>
      <c r="E134" s="17" t="n">
        <v>43</v>
      </c>
      <c r="F134" s="19" t="n">
        <v>1178</v>
      </c>
      <c r="G134" s="21" t="inlineStr">
        <is>
          <t>Портал / форум / вики</t>
        </is>
      </c>
      <c r="H134" s="18" t="inlineStr">
        <is>
          <t>Статья / инфо</t>
        </is>
      </c>
    </row>
    <row r="135" ht="15" customHeight="1">
      <c r="A135" s="4" t="inlineStr">
        <is>
          <t>гальваническое серебрение</t>
        </is>
      </c>
      <c r="B135" s="17" t="n">
        <v>10</v>
      </c>
      <c r="C135" s="4" t="inlineStr">
        <is>
          <t>https://elmaru.ru/process/galvanicheskoe-osazhdenie-serebra-elnis-1000/</t>
        </is>
      </c>
      <c r="D135" s="18" t="inlineStr">
        <is>
          <t>elmaru.ru</t>
        </is>
      </c>
      <c r="E135" s="17" t="n">
        <v>0.3</v>
      </c>
      <c r="F135" s="19" t="n">
        <v>10</v>
      </c>
      <c r="G135" s="23" t="inlineStr">
        <is>
          <t>Мини-сайт</t>
        </is>
      </c>
      <c r="H135" s="18" t="inlineStr">
        <is>
          <t>Услуга / каталог</t>
        </is>
      </c>
    </row>
    <row r="136" ht="15" customHeight="1">
      <c r="A136" s="4" t="inlineStr">
        <is>
          <t>оловянирование</t>
        </is>
      </c>
      <c r="B136" s="17" t="n">
        <v>2</v>
      </c>
      <c r="C136" s="4" t="inlineStr">
        <is>
          <t>https://zctc.ru/sections/olovyanirovaniye</t>
        </is>
      </c>
      <c r="D136" s="18" t="inlineStr">
        <is>
          <t>zctc.ru</t>
        </is>
      </c>
      <c r="E136" s="17" t="n">
        <v>12</v>
      </c>
      <c r="F136" s="19" t="n">
        <v>547</v>
      </c>
      <c r="G136" s="22" t="inlineStr">
        <is>
          <t>Средний сайт</t>
        </is>
      </c>
      <c r="H136" s="18" t="inlineStr">
        <is>
          <t>Услуга / каталог</t>
        </is>
      </c>
    </row>
    <row r="137" ht="15" customHeight="1">
      <c r="A137" s="4" t="inlineStr">
        <is>
          <t>оловянирование</t>
        </is>
      </c>
      <c r="B137" s="17" t="n">
        <v>4</v>
      </c>
      <c r="C137" s="4" t="inlineStr">
        <is>
          <t>https://chemnikel.ru/galvanicheskoe-olovyanirovanie-metalla/</t>
        </is>
      </c>
      <c r="D137" s="18" t="inlineStr">
        <is>
          <t>chemnikel.ru</t>
        </is>
      </c>
      <c r="E137" s="17" t="n">
        <v>4.6</v>
      </c>
      <c r="F137" s="19" t="n">
        <v>53</v>
      </c>
      <c r="G137" s="23" t="inlineStr">
        <is>
          <t>Мини-сайт</t>
        </is>
      </c>
      <c r="H137" s="18" t="inlineStr">
        <is>
          <t>Услуга / каталог</t>
        </is>
      </c>
    </row>
    <row r="138" ht="15" customHeight="1">
      <c r="A138" s="4" t="inlineStr">
        <is>
          <t>оловянирование</t>
        </is>
      </c>
      <c r="B138" s="17" t="n">
        <v>5</v>
      </c>
      <c r="C138" s="4" t="inlineStr">
        <is>
          <t>https://vskplast.ru/olovyanirovanie_galvanicheskoe/</t>
        </is>
      </c>
      <c r="D138" s="18" t="inlineStr">
        <is>
          <t>vskplast.ru</t>
        </is>
      </c>
      <c r="E138" s="17" t="n">
        <v>0</v>
      </c>
      <c r="F138" s="19" t="n">
        <v>80</v>
      </c>
      <c r="G138" s="23" t="inlineStr">
        <is>
          <t>Мини-сайт</t>
        </is>
      </c>
      <c r="H138" s="18" t="inlineStr">
        <is>
          <t>Услуга / каталог</t>
        </is>
      </c>
    </row>
    <row r="139" ht="15" customHeight="1">
      <c r="A139" s="4" t="inlineStr">
        <is>
          <t>оловянирование</t>
        </is>
      </c>
      <c r="B139" s="17" t="n">
        <v>6</v>
      </c>
      <c r="C139" s="4" t="inlineStr">
        <is>
          <t>https://www.galvanik.ru/technology/tinning/</t>
        </is>
      </c>
      <c r="D139" s="18" t="inlineStr">
        <is>
          <t>galvanik.ru</t>
        </is>
      </c>
      <c r="E139" s="17" t="n">
        <v>10</v>
      </c>
      <c r="F139" s="19" t="n">
        <v>5</v>
      </c>
      <c r="G139" s="23" t="inlineStr">
        <is>
          <t>Мини-сайт</t>
        </is>
      </c>
      <c r="H139" s="18" t="inlineStr">
        <is>
          <t>Статья / инфо</t>
        </is>
      </c>
    </row>
    <row r="140" ht="27" customHeight="1">
      <c r="A140" s="4" t="inlineStr">
        <is>
          <t>оловянирование</t>
        </is>
      </c>
      <c r="B140" s="17" t="n">
        <v>7</v>
      </c>
      <c r="C140" s="4" t="inlineStr">
        <is>
          <t>https://prom-emkosti.ru/produktsiya/galvanicheskoe-oborudovanie/linii-galvanicheskie/linija-olovjanirovanija/</t>
        </is>
      </c>
      <c r="D140" s="18" t="inlineStr">
        <is>
          <t>prom-emkosti.ru</t>
        </is>
      </c>
      <c r="E140" s="17" t="n">
        <v>26</v>
      </c>
      <c r="F140" s="19" t="n">
        <v>63</v>
      </c>
      <c r="G140" s="23" t="inlineStr">
        <is>
          <t>Мини-сайт</t>
        </is>
      </c>
      <c r="H140" s="18" t="inlineStr">
        <is>
          <t>Услуга / каталог</t>
        </is>
      </c>
    </row>
    <row r="141" ht="15" customHeight="1">
      <c r="A141" s="4" t="inlineStr">
        <is>
          <t>оловянирование</t>
        </is>
      </c>
      <c r="B141" s="17" t="n">
        <v>8</v>
      </c>
      <c r="C141" s="4" t="inlineStr">
        <is>
          <t>http://www.zao-techno.ru/content/view/5/8/</t>
        </is>
      </c>
      <c r="D141" s="18" t="inlineStr">
        <is>
          <t>zao-techno.ru</t>
        </is>
      </c>
      <c r="E141" s="17" t="n">
        <v>0.3</v>
      </c>
      <c r="F141" s="19" t="n">
        <v>21</v>
      </c>
      <c r="G141" s="23" t="inlineStr">
        <is>
          <t>Мини-сайт</t>
        </is>
      </c>
      <c r="H141" s="18" t="inlineStr">
        <is>
          <t>Прочее</t>
        </is>
      </c>
    </row>
    <row r="142" ht="15" customHeight="1">
      <c r="A142" s="4" t="inlineStr">
        <is>
          <t>оловянирование</t>
        </is>
      </c>
      <c r="B142" s="17" t="n">
        <v>9</v>
      </c>
      <c r="C142" s="4" t="inlineStr">
        <is>
          <t>https://ekaterinburg.anepmetall.ru/olovyanirovanie/</t>
        </is>
      </c>
      <c r="D142" s="18" t="inlineStr">
        <is>
          <t>anepmetall.ru</t>
        </is>
      </c>
      <c r="E142" s="17" t="n">
        <v>25</v>
      </c>
      <c r="F142" s="19" t="n">
        <v>194</v>
      </c>
      <c r="G142" s="22" t="inlineStr">
        <is>
          <t>Средний сайт</t>
        </is>
      </c>
      <c r="H142" s="18" t="inlineStr">
        <is>
          <t>Услуга / каталог</t>
        </is>
      </c>
    </row>
    <row r="143" ht="15" customHeight="1">
      <c r="A143" s="4" t="inlineStr">
        <is>
          <t>оловянирование</t>
        </is>
      </c>
      <c r="B143" s="17" t="n">
        <v>10</v>
      </c>
      <c r="C143" s="4" t="inlineStr">
        <is>
          <t>https://elmaru.ru/process/galvanicheskoe-olovyanirovanie-i-osazhdenie-pos/</t>
        </is>
      </c>
      <c r="D143" s="18" t="inlineStr">
        <is>
          <t>elmaru.ru</t>
        </is>
      </c>
      <c r="E143" s="17" t="n">
        <v>0.3</v>
      </c>
      <c r="F143" s="19" t="n">
        <v>10</v>
      </c>
      <c r="G143" s="23" t="inlineStr">
        <is>
          <t>Мини-сайт</t>
        </is>
      </c>
      <c r="H143" s="18" t="inlineStr">
        <is>
          <t>Услуга / каталог</t>
        </is>
      </c>
    </row>
    <row r="144" ht="15" customHeight="1">
      <c r="A144" s="4" t="inlineStr">
        <is>
          <t>гальваническое меднение</t>
        </is>
      </c>
      <c r="B144" s="17" t="n">
        <v>1</v>
      </c>
      <c r="C144" s="4" t="inlineStr">
        <is>
          <t>https://6mkm.ru/nashi-tehnologii/mednenie/mednenie-v-domashnih-usloviyah/</t>
        </is>
      </c>
      <c r="D144" s="18" t="inlineStr">
        <is>
          <t>6mkm.ru</t>
        </is>
      </c>
      <c r="E144" s="17" t="n">
        <v>8</v>
      </c>
      <c r="F144" s="19" t="n">
        <v>259</v>
      </c>
      <c r="G144" s="22" t="inlineStr">
        <is>
          <t>Средний сайт</t>
        </is>
      </c>
      <c r="H144" s="18" t="inlineStr">
        <is>
          <t>Статья / инфо</t>
        </is>
      </c>
    </row>
    <row r="145" ht="15" customHeight="1">
      <c r="A145" s="4" t="inlineStr">
        <is>
          <t>гальваническое меднение</t>
        </is>
      </c>
      <c r="B145" s="17" t="n">
        <v>2</v>
      </c>
      <c r="C145" s="4" t="inlineStr">
        <is>
          <t>https://zctc.ru/sections/cooper</t>
        </is>
      </c>
      <c r="D145" s="18" t="inlineStr">
        <is>
          <t>zctc.ru</t>
        </is>
      </c>
      <c r="E145" s="17" t="n">
        <v>12</v>
      </c>
      <c r="F145" s="19" t="n">
        <v>547</v>
      </c>
      <c r="G145" s="22" t="inlineStr">
        <is>
          <t>Средний сайт</t>
        </is>
      </c>
      <c r="H145" s="18" t="inlineStr">
        <is>
          <t>Услуга / каталог</t>
        </is>
      </c>
    </row>
    <row r="146" ht="15" customHeight="1">
      <c r="A146" s="4" t="inlineStr">
        <is>
          <t>гальваническое меднение</t>
        </is>
      </c>
      <c r="B146" s="17" t="n">
        <v>3</v>
      </c>
      <c r="C146" s="4" t="inlineStr">
        <is>
          <t>https://ezetek.ru/proizvodstvo/galvanicheskoe-mednenie/</t>
        </is>
      </c>
      <c r="D146" s="18" t="inlineStr">
        <is>
          <t>ezetek.ru</t>
        </is>
      </c>
      <c r="E146" s="17" t="n">
        <v>25</v>
      </c>
      <c r="F146" s="19" t="n">
        <v>566</v>
      </c>
      <c r="G146" s="22" t="inlineStr">
        <is>
          <t>Средний сайт</t>
        </is>
      </c>
      <c r="H146" s="18" t="inlineStr">
        <is>
          <t>Услуга / каталог</t>
        </is>
      </c>
    </row>
    <row r="147" ht="15" customHeight="1">
      <c r="A147" s="4" t="inlineStr">
        <is>
          <t>гальваническое меднение</t>
        </is>
      </c>
      <c r="B147" s="17" t="n">
        <v>4</v>
      </c>
      <c r="C147" s="4" t="inlineStr">
        <is>
          <t>https://plast-product.ru/galvanicheskoe-mednenie/</t>
        </is>
      </c>
      <c r="D147" s="18" t="inlineStr">
        <is>
          <t>plast-product.ru</t>
        </is>
      </c>
      <c r="E147" s="17" t="n">
        <v>4.4</v>
      </c>
      <c r="F147" s="19" t="n">
        <v>141</v>
      </c>
      <c r="G147" s="23" t="inlineStr">
        <is>
          <t>Мини-сайт</t>
        </is>
      </c>
      <c r="H147" s="18" t="inlineStr">
        <is>
          <t>Услуга / каталог</t>
        </is>
      </c>
    </row>
    <row r="148" ht="15" customHeight="1">
      <c r="A148" s="4" t="inlineStr">
        <is>
          <t>гальваническое меднение</t>
        </is>
      </c>
      <c r="B148" s="17" t="n">
        <v>6</v>
      </c>
      <c r="C148" s="4" t="inlineStr">
        <is>
          <t>https://elmaru.ru/stats/galvanicheskoe-mednenie-pri-proizvodstve-pechatnyh-plat/</t>
        </is>
      </c>
      <c r="D148" s="18" t="inlineStr">
        <is>
          <t>elmaru.ru</t>
        </is>
      </c>
      <c r="E148" s="17" t="n">
        <v>0.3</v>
      </c>
      <c r="F148" s="19" t="n">
        <v>10</v>
      </c>
      <c r="G148" s="23" t="inlineStr">
        <is>
          <t>Мини-сайт</t>
        </is>
      </c>
      <c r="H148" s="18" t="inlineStr">
        <is>
          <t>Статья / инфо</t>
        </is>
      </c>
    </row>
    <row r="149" ht="15" customHeight="1">
      <c r="A149" s="4" t="inlineStr">
        <is>
          <t>гальваническое меднение</t>
        </is>
      </c>
      <c r="B149" s="17" t="n">
        <v>7</v>
      </c>
      <c r="C149" s="4" t="inlineStr">
        <is>
          <t>https://chemnikel.ru/galvanicheskoe-mednenie/</t>
        </is>
      </c>
      <c r="D149" s="18" t="inlineStr">
        <is>
          <t>chemnikel.ru</t>
        </is>
      </c>
      <c r="E149" s="17" t="n">
        <v>4.6</v>
      </c>
      <c r="F149" s="19" t="n">
        <v>53</v>
      </c>
      <c r="G149" s="23" t="inlineStr">
        <is>
          <t>Мини-сайт</t>
        </is>
      </c>
      <c r="H149" s="18" t="inlineStr">
        <is>
          <t>Услуга / каталог</t>
        </is>
      </c>
    </row>
    <row r="150" ht="27" customHeight="1">
      <c r="A150" s="4" t="inlineStr">
        <is>
          <t>гальваническое меднение</t>
        </is>
      </c>
      <c r="B150" s="17" t="n">
        <v>8</v>
      </c>
      <c r="C150" s="4" t="inlineStr">
        <is>
          <t>https://joshkar-ola.metatorg.ru/shop/uslugi/pokrytie-metalla/galvanicheskoe_pokrytie_medyu_mednenie_omednenie/</t>
        </is>
      </c>
      <c r="D150" s="18" t="inlineStr">
        <is>
          <t>metatorg.ru</t>
        </is>
      </c>
      <c r="E150" s="17" t="n">
        <v>19</v>
      </c>
      <c r="F150" s="19" t="n">
        <v>1452</v>
      </c>
      <c r="G150" s="20" t="inlineStr">
        <is>
          <t>Большой сайт</t>
        </is>
      </c>
      <c r="H150" s="18" t="inlineStr">
        <is>
          <t>Услуга / каталог</t>
        </is>
      </c>
    </row>
    <row r="151" ht="15" customHeight="1">
      <c r="A151" s="4" t="inlineStr">
        <is>
          <t>гальваническое меднение</t>
        </is>
      </c>
      <c r="B151" s="17" t="n">
        <v>9</v>
      </c>
      <c r="C151" s="4" t="inlineStr">
        <is>
          <t>https://portal.tpu.ru/SHARED/o/OTIEV/teaching/Tab1/lab2.pdf</t>
        </is>
      </c>
      <c r="D151" s="18" t="inlineStr">
        <is>
          <t>portal.tpu.ru</t>
        </is>
      </c>
      <c r="E151" s="17" t="n">
        <v>72</v>
      </c>
      <c r="F151" s="19" t="n"/>
      <c r="G151" s="21" t="inlineStr">
        <is>
          <t>Портал / форум / вики</t>
        </is>
      </c>
      <c r="H151" s="18" t="inlineStr">
        <is>
          <t>Статья / инфо</t>
        </is>
      </c>
    </row>
    <row r="152" ht="15" customHeight="1">
      <c r="A152" s="4" t="inlineStr">
        <is>
          <t>гальваническое золочение</t>
        </is>
      </c>
      <c r="B152" s="17" t="n">
        <v>2</v>
      </c>
      <c r="C152" s="4" t="inlineStr">
        <is>
          <t>https://www.ozon.ru/galvanicheskoe-zolochenie</t>
        </is>
      </c>
      <c r="D152" s="18" t="inlineStr">
        <is>
          <t>ozon.ru</t>
        </is>
      </c>
      <c r="E152" s="17" t="n">
        <v>91</v>
      </c>
      <c r="F152" s="19" t="n"/>
      <c r="G152" s="21" t="inlineStr">
        <is>
          <t>Портал / форум / вики</t>
        </is>
      </c>
      <c r="H152" s="18" t="inlineStr">
        <is>
          <t>Прочее</t>
        </is>
      </c>
    </row>
    <row r="153" ht="15" customHeight="1">
      <c r="A153" s="4" t="inlineStr">
        <is>
          <t>гальваническое золочение</t>
        </is>
      </c>
      <c r="B153" s="17" t="n">
        <v>3</v>
      </c>
      <c r="C153" s="4" t="inlineStr">
        <is>
          <t>https://plast-product.ru/Полезное</t>
        </is>
      </c>
      <c r="D153" s="18" t="inlineStr">
        <is>
          <t>plast-product.ru</t>
        </is>
      </c>
      <c r="E153" s="17" t="n">
        <v>4.4</v>
      </c>
      <c r="F153" s="19" t="n">
        <v>141</v>
      </c>
      <c r="G153" s="23" t="inlineStr">
        <is>
          <t>Мини-сайт</t>
        </is>
      </c>
      <c r="H153" s="18" t="inlineStr">
        <is>
          <t>Статья / инфо</t>
        </is>
      </c>
    </row>
    <row r="154" ht="15" customHeight="1">
      <c r="A154" s="4" t="inlineStr">
        <is>
          <t>гальваническое золочение</t>
        </is>
      </c>
      <c r="B154" s="17" t="n">
        <v>4</v>
      </c>
      <c r="C154" s="4" t="inlineStr">
        <is>
          <t>https://6mkm.ru/Наши</t>
        </is>
      </c>
      <c r="D154" s="18" t="inlineStr">
        <is>
          <t>6mkm.ru</t>
        </is>
      </c>
      <c r="E154" s="17" t="n">
        <v>8</v>
      </c>
      <c r="F154" s="19" t="n">
        <v>259</v>
      </c>
      <c r="G154" s="22" t="inlineStr">
        <is>
          <t>Средний сайт</t>
        </is>
      </c>
      <c r="H154" s="18" t="inlineStr">
        <is>
          <t>Прочее</t>
        </is>
      </c>
    </row>
    <row r="155" ht="15" customHeight="1">
      <c r="A155" s="4" t="inlineStr">
        <is>
          <t>гальваническое золочение</t>
        </is>
      </c>
      <c r="B155" s="17" t="n">
        <v>5</v>
      </c>
      <c r="C155" s="4" t="inlineStr">
        <is>
          <t>https://mademetall.ru/</t>
        </is>
      </c>
      <c r="D155" s="18" t="inlineStr">
        <is>
          <t>mademetall.ru</t>
        </is>
      </c>
      <c r="E155" s="17" t="n">
        <v>36</v>
      </c>
      <c r="F155" s="19" t="n">
        <v>79</v>
      </c>
      <c r="G155" s="23" t="inlineStr">
        <is>
          <t>Мини-сайт</t>
        </is>
      </c>
      <c r="H155" s="18" t="inlineStr">
        <is>
          <t>Главная страница сайта</t>
        </is>
      </c>
    </row>
    <row r="156" ht="15" customHeight="1">
      <c r="A156" s="4" t="inlineStr">
        <is>
          <t>гальваническое золочение</t>
        </is>
      </c>
      <c r="B156" s="17" t="n">
        <v>7</v>
      </c>
      <c r="C156" s="4" t="inlineStr">
        <is>
          <t>https://kr-presnya.ru/galvanicheskie-pokrytiya</t>
        </is>
      </c>
      <c r="D156" s="18" t="inlineStr">
        <is>
          <t>kr-presnya.ru</t>
        </is>
      </c>
      <c r="E156" s="17" t="n">
        <v>23</v>
      </c>
      <c r="F156" s="19" t="n">
        <v>79</v>
      </c>
      <c r="G156" s="23" t="inlineStr">
        <is>
          <t>Мини-сайт</t>
        </is>
      </c>
      <c r="H156" s="18" t="inlineStr">
        <is>
          <t>Услуга / каталог</t>
        </is>
      </c>
    </row>
    <row r="157" ht="15" customHeight="1">
      <c r="A157" s="4" t="inlineStr">
        <is>
          <t>гальваническое золочение</t>
        </is>
      </c>
      <c r="B157" s="17" t="n">
        <v>8</v>
      </c>
      <c r="C157" s="4" t="inlineStr">
        <is>
          <t>https://vskplast.ru/Статьи</t>
        </is>
      </c>
      <c r="D157" s="18" t="inlineStr">
        <is>
          <t>vskplast.ru</t>
        </is>
      </c>
      <c r="E157" s="17" t="n">
        <v>0</v>
      </c>
      <c r="F157" s="19" t="n">
        <v>80</v>
      </c>
      <c r="G157" s="23" t="inlineStr">
        <is>
          <t>Мини-сайт</t>
        </is>
      </c>
      <c r="H157" s="18" t="inlineStr">
        <is>
          <t>Статья / инфо</t>
        </is>
      </c>
    </row>
    <row r="158" ht="15" customHeight="1">
      <c r="A158" s="4" t="inlineStr">
        <is>
          <t>гальваническое золочение</t>
        </is>
      </c>
      <c r="B158" s="17" t="n">
        <v>9</v>
      </c>
      <c r="C158" s="4" t="inlineStr">
        <is>
          <t>https://funchrome.ru/</t>
        </is>
      </c>
      <c r="D158" s="18" t="inlineStr">
        <is>
          <t>funchrome.ru</t>
        </is>
      </c>
      <c r="E158" s="17" t="n">
        <v>0</v>
      </c>
      <c r="F158" s="19" t="n">
        <v>79</v>
      </c>
      <c r="G158" s="23" t="inlineStr">
        <is>
          <t>Мини-сайт</t>
        </is>
      </c>
      <c r="H158" s="18" t="inlineStr">
        <is>
          <t>Главная страница сайта</t>
        </is>
      </c>
    </row>
    <row r="159" ht="15" customHeight="1">
      <c r="A159" s="4" t="inlineStr">
        <is>
          <t>гальваническое золочение</t>
        </is>
      </c>
      <c r="B159" s="17" t="n">
        <v>10</v>
      </c>
      <c r="C159" s="4" t="inlineStr">
        <is>
          <t>https://forum-galvanik.ru/topic</t>
        </is>
      </c>
      <c r="D159" s="18" t="inlineStr">
        <is>
          <t>forum-galvanik.ru</t>
        </is>
      </c>
      <c r="E159" s="17" t="n">
        <v>0.2</v>
      </c>
      <c r="F159" s="19" t="n">
        <v>38</v>
      </c>
      <c r="G159" s="21" t="inlineStr">
        <is>
          <t>Портал / форум / вики</t>
        </is>
      </c>
      <c r="H159" s="18" t="inlineStr">
        <is>
          <t>Статья / инфо</t>
        </is>
      </c>
    </row>
    <row r="160" ht="15" customHeight="1">
      <c r="A160" s="4" t="inlineStr">
        <is>
          <t>кадмирование</t>
        </is>
      </c>
      <c r="B160" s="17" t="n">
        <v>2</v>
      </c>
      <c r="C160" s="4" t="inlineStr">
        <is>
          <t>https://ru.wikipedia.org/wiki/Кадмирование</t>
        </is>
      </c>
      <c r="D160" s="18" t="inlineStr">
        <is>
          <t>ru.wikipedia.org</t>
        </is>
      </c>
      <c r="E160" s="17" t="n">
        <v>97</v>
      </c>
      <c r="F160" s="19" t="n"/>
      <c r="G160" s="21" t="inlineStr">
        <is>
          <t>Портал / форум / вики</t>
        </is>
      </c>
      <c r="H160" s="18" t="inlineStr">
        <is>
          <t>Статья / инфо</t>
        </is>
      </c>
    </row>
    <row r="161" ht="15" customHeight="1">
      <c r="A161" s="4" t="inlineStr">
        <is>
          <t>кадмирование</t>
        </is>
      </c>
      <c r="B161" s="17" t="n">
        <v>3</v>
      </c>
      <c r="C161" s="4" t="inlineStr">
        <is>
          <t>https://zctc.ru/sections/mehanizm_cadmirovaniya_1</t>
        </is>
      </c>
      <c r="D161" s="18" t="inlineStr">
        <is>
          <t>zctc.ru</t>
        </is>
      </c>
      <c r="E161" s="17" t="n">
        <v>12</v>
      </c>
      <c r="F161" s="19" t="n">
        <v>547</v>
      </c>
      <c r="G161" s="22" t="inlineStr">
        <is>
          <t>Средний сайт</t>
        </is>
      </c>
      <c r="H161" s="18" t="inlineStr">
        <is>
          <t>Услуга / каталог</t>
        </is>
      </c>
    </row>
    <row r="162" ht="15" customHeight="1">
      <c r="A162" s="4" t="inlineStr">
        <is>
          <t>кадмирование</t>
        </is>
      </c>
      <c r="B162" s="17" t="n">
        <v>5</v>
      </c>
      <c r="C162" s="4" t="inlineStr">
        <is>
          <t>https://galvan.ru/kadmirovanie</t>
        </is>
      </c>
      <c r="D162" s="18" t="inlineStr">
        <is>
          <t>galvan.ru</t>
        </is>
      </c>
      <c r="E162" s="17" t="n">
        <v>3.2</v>
      </c>
      <c r="F162" s="19" t="n">
        <v>34</v>
      </c>
      <c r="G162" s="23" t="inlineStr">
        <is>
          <t>Мини-сайт</t>
        </is>
      </c>
      <c r="H162" s="18" t="inlineStr">
        <is>
          <t>Услуга / каталог</t>
        </is>
      </c>
    </row>
    <row r="163" ht="15" customHeight="1">
      <c r="A163" s="4" t="inlineStr">
        <is>
          <t>кадмирование</t>
        </is>
      </c>
      <c r="B163" s="17" t="n">
        <v>6</v>
      </c>
      <c r="C163" s="4" t="inlineStr">
        <is>
          <t>https://npkhrom.ru/service/zashhitnye-pokrytiya/kadmirovanie/</t>
        </is>
      </c>
      <c r="D163" s="18" t="inlineStr">
        <is>
          <t>npkhrom.ru</t>
        </is>
      </c>
      <c r="E163" s="17" t="n">
        <v>0.5</v>
      </c>
      <c r="F163" s="19" t="n">
        <v>69</v>
      </c>
      <c r="G163" s="23" t="inlineStr">
        <is>
          <t>Мини-сайт</t>
        </is>
      </c>
      <c r="H163" s="18" t="inlineStr">
        <is>
          <t>Услуга / каталог</t>
        </is>
      </c>
    </row>
    <row r="164" ht="15" customHeight="1">
      <c r="A164" s="4" t="inlineStr">
        <is>
          <t>кадмирование</t>
        </is>
      </c>
      <c r="B164" s="17" t="n">
        <v>7</v>
      </c>
      <c r="C164" s="4" t="inlineStr">
        <is>
          <t>https://plast-product.ru/kadmirovanie/</t>
        </is>
      </c>
      <c r="D164" s="18" t="inlineStr">
        <is>
          <t>plast-product.ru</t>
        </is>
      </c>
      <c r="E164" s="17" t="n">
        <v>4.4</v>
      </c>
      <c r="F164" s="19" t="n">
        <v>141</v>
      </c>
      <c r="G164" s="23" t="inlineStr">
        <is>
          <t>Мини-сайт</t>
        </is>
      </c>
      <c r="H164" s="18" t="inlineStr">
        <is>
          <t>Услуга / каталог</t>
        </is>
      </c>
    </row>
    <row r="165" ht="15" customHeight="1">
      <c r="A165" s="4" t="inlineStr">
        <is>
          <t>кадмирование</t>
        </is>
      </c>
      <c r="B165" s="17" t="n">
        <v>9</v>
      </c>
      <c r="C165" s="4" t="inlineStr">
        <is>
          <t>https://vlad.snabtechmet.ru/uslugi/kadmirovanie/</t>
        </is>
      </c>
      <c r="D165" s="18" t="inlineStr">
        <is>
          <t>snabtechmet.ru</t>
        </is>
      </c>
      <c r="E165" s="17" t="n">
        <v>12</v>
      </c>
      <c r="F165" s="19" t="n">
        <v>441</v>
      </c>
      <c r="G165" s="22" t="inlineStr">
        <is>
          <t>Средний сайт</t>
        </is>
      </c>
      <c r="H165" s="18" t="inlineStr">
        <is>
          <t>Услуга / каталог</t>
        </is>
      </c>
    </row>
    <row r="166" ht="15" customHeight="1">
      <c r="A166" s="4" t="inlineStr">
        <is>
          <t>кадмирование</t>
        </is>
      </c>
      <c r="B166" s="17" t="n">
        <v>10</v>
      </c>
      <c r="C166" s="4" t="inlineStr">
        <is>
          <t>https://ptzem.ru/services/galvanoobrabotka/kadmirovanie/</t>
        </is>
      </c>
      <c r="D166" s="18" t="inlineStr">
        <is>
          <t>ptzem.ru</t>
        </is>
      </c>
      <c r="E166" s="17" t="n">
        <v>0</v>
      </c>
      <c r="F166" s="19" t="n">
        <v>45</v>
      </c>
      <c r="G166" s="23" t="inlineStr">
        <is>
          <t>Мини-сайт</t>
        </is>
      </c>
      <c r="H166" s="18" t="inlineStr">
        <is>
          <t>Услуга / каталог</t>
        </is>
      </c>
    </row>
    <row r="167" ht="15" customHeight="1">
      <c r="A167" s="4" t="inlineStr">
        <is>
          <t>химическое оксидирование алюминия</t>
        </is>
      </c>
      <c r="B167" s="17" t="n">
        <v>2</v>
      </c>
      <c r="C167" s="4" t="inlineStr">
        <is>
          <t>https://zctc.ru/Статьи</t>
        </is>
      </c>
      <c r="D167" s="18" t="inlineStr">
        <is>
          <t>zctc.ru</t>
        </is>
      </c>
      <c r="E167" s="17" t="n">
        <v>12</v>
      </c>
      <c r="F167" s="19" t="n">
        <v>547</v>
      </c>
      <c r="G167" s="22" t="inlineStr">
        <is>
          <t>Средний сайт</t>
        </is>
      </c>
      <c r="H167" s="18" t="inlineStr">
        <is>
          <t>Статья / инфо</t>
        </is>
      </c>
    </row>
    <row r="168" ht="15" customHeight="1">
      <c r="A168" s="4" t="inlineStr">
        <is>
          <t>химическое оксидирование алюминия</t>
        </is>
      </c>
      <c r="B168" s="17" t="n">
        <v>3</v>
      </c>
      <c r="C168" s="4" t="inlineStr">
        <is>
          <t>https://гальванопластика.рф/product</t>
        </is>
      </c>
      <c r="D168" s="18" t="inlineStr">
        <is>
          <t>гальванопластика.рф</t>
        </is>
      </c>
      <c r="E168" s="17" t="n"/>
      <c r="F168" s="19" t="n"/>
      <c r="G168" s="24" t="inlineStr">
        <is>
          <t>Нет данных</t>
        </is>
      </c>
      <c r="H168" s="18" t="inlineStr">
        <is>
          <t>Услуга / каталог</t>
        </is>
      </c>
    </row>
    <row r="169" ht="15" customHeight="1">
      <c r="A169" s="4" t="inlineStr">
        <is>
          <t>химическое оксидирование алюминия</t>
        </is>
      </c>
      <c r="B169" s="17" t="n">
        <v>4</v>
      </c>
      <c r="C169" s="4" t="inlineStr">
        <is>
          <t>https://metallicheckiy-portal.ru/articles/splavi_alyminia</t>
        </is>
      </c>
      <c r="D169" s="18" t="inlineStr">
        <is>
          <t>metallicheckiy-portal.ru</t>
        </is>
      </c>
      <c r="E169" s="17" t="n">
        <v>64</v>
      </c>
      <c r="F169" s="19" t="n">
        <v>2029</v>
      </c>
      <c r="G169" s="20" t="inlineStr">
        <is>
          <t>Большой сайт</t>
        </is>
      </c>
      <c r="H169" s="18" t="inlineStr">
        <is>
          <t>Статья / инфо</t>
        </is>
      </c>
    </row>
    <row r="170" ht="15" customHeight="1">
      <c r="A170" s="4" t="inlineStr">
        <is>
          <t>химическое оксидирование алюминия</t>
        </is>
      </c>
      <c r="B170" s="17" t="n">
        <v>5</v>
      </c>
      <c r="C170" s="4" t="inlineStr">
        <is>
          <t>https://studfile.net/preview</t>
        </is>
      </c>
      <c r="D170" s="18" t="inlineStr">
        <is>
          <t>studfile.net</t>
        </is>
      </c>
      <c r="E170" s="17" t="n">
        <v>65</v>
      </c>
      <c r="F170" s="19" t="n"/>
      <c r="G170" s="21" t="inlineStr">
        <is>
          <t>Портал / форум / вики</t>
        </is>
      </c>
      <c r="H170" s="18" t="inlineStr">
        <is>
          <t>Статья / инфо</t>
        </is>
      </c>
    </row>
    <row r="171" ht="15" customHeight="1">
      <c r="A171" s="4" t="inlineStr">
        <is>
          <t>химическое оксидирование алюминия</t>
        </is>
      </c>
      <c r="B171" s="17" t="n">
        <v>6</v>
      </c>
      <c r="C171" s="4" t="inlineStr">
        <is>
          <t>https://biblioserver.usurt.ru/cgi-bin/cgiirbis_64 (PDF)</t>
        </is>
      </c>
      <c r="D171" s="18" t="inlineStr">
        <is>
          <t>biblioserver.usurt.ru</t>
        </is>
      </c>
      <c r="E171" s="17" t="n">
        <v>51</v>
      </c>
      <c r="F171" s="19" t="n"/>
      <c r="G171" s="21" t="inlineStr">
        <is>
          <t>Портал / форум / вики</t>
        </is>
      </c>
      <c r="H171" s="18" t="inlineStr">
        <is>
          <t>Статья / инфо</t>
        </is>
      </c>
    </row>
    <row r="172" ht="15" customHeight="1">
      <c r="A172" s="4" t="inlineStr">
        <is>
          <t>химическое оксидирование алюминия</t>
        </is>
      </c>
      <c r="B172" s="17" t="n">
        <v>8</v>
      </c>
      <c r="C172" s="4" t="inlineStr">
        <is>
          <t>https://platings.ru/chem_oks_aluminum</t>
        </is>
      </c>
      <c r="D172" s="18" t="inlineStr">
        <is>
          <t>platings.ru</t>
        </is>
      </c>
      <c r="E172" s="17" t="n">
        <v>0.3</v>
      </c>
      <c r="F172" s="19" t="n">
        <v>65</v>
      </c>
      <c r="G172" s="23" t="inlineStr">
        <is>
          <t>Мини-сайт</t>
        </is>
      </c>
      <c r="H172" s="18" t="inlineStr">
        <is>
          <t>Услуга / каталог</t>
        </is>
      </c>
    </row>
    <row r="173" ht="15" customHeight="1">
      <c r="A173" s="4" t="inlineStr">
        <is>
          <t>химическое оксидирование алюминия</t>
        </is>
      </c>
      <c r="B173" s="17" t="n">
        <v>9</v>
      </c>
      <c r="C173" s="4" t="inlineStr">
        <is>
          <t>https://ugreaktiv-galvanika.ru/magazin-2/tag</t>
        </is>
      </c>
      <c r="D173" s="18" t="inlineStr">
        <is>
          <t>ugreaktiv-galvanika.ru</t>
        </is>
      </c>
      <c r="E173" s="17" t="n">
        <v>21</v>
      </c>
      <c r="F173" s="19" t="n">
        <v>545</v>
      </c>
      <c r="G173" s="22" t="inlineStr">
        <is>
          <t>Средний сайт</t>
        </is>
      </c>
      <c r="H173" s="18" t="inlineStr">
        <is>
          <t>Услуга / каталог</t>
        </is>
      </c>
    </row>
    <row r="174" ht="15" customHeight="1">
      <c r="A174" s="4" t="inlineStr">
        <is>
          <t>химическое оксидирование алюминия</t>
        </is>
      </c>
      <c r="B174" s="17" t="n">
        <v>10</v>
      </c>
      <c r="C174" s="4" t="inlineStr">
        <is>
          <t>https://aluminium-ukraine.com.ua/Статьи</t>
        </is>
      </c>
      <c r="D174" s="18" t="inlineStr">
        <is>
          <t>aluminium-ukraine.com.ua</t>
        </is>
      </c>
      <c r="E174" s="17" t="n">
        <v>36</v>
      </c>
      <c r="F174" s="19" t="n">
        <v>20</v>
      </c>
      <c r="G174" s="23" t="inlineStr">
        <is>
          <t>Мини-сайт</t>
        </is>
      </c>
      <c r="H174" s="18" t="inlineStr">
        <is>
          <t>Статья / инфо</t>
        </is>
      </c>
    </row>
    <row r="175" ht="15" customHeight="1">
      <c r="A175" s="4" t="inlineStr">
        <is>
          <t>круглая шлифовка</t>
        </is>
      </c>
      <c r="B175" s="17" t="n">
        <v>2</v>
      </c>
      <c r="C175" s="4" t="inlineStr">
        <is>
          <t>https://www.zavodkorund.ru/Информация/Статьи</t>
        </is>
      </c>
      <c r="D175" s="18" t="inlineStr">
        <is>
          <t>zavodkorund.ru</t>
        </is>
      </c>
      <c r="E175" s="17" t="n">
        <v>12</v>
      </c>
      <c r="F175" s="19" t="n">
        <v>150</v>
      </c>
      <c r="G175" s="22" t="inlineStr">
        <is>
          <t>Средний сайт</t>
        </is>
      </c>
      <c r="H175" s="18" t="inlineStr">
        <is>
          <t>Статья / инфо</t>
        </is>
      </c>
    </row>
    <row r="176" ht="15" customHeight="1">
      <c r="A176" s="4" t="inlineStr">
        <is>
          <t>круглая шлифовка</t>
        </is>
      </c>
      <c r="B176" s="17" t="n">
        <v>4</v>
      </c>
      <c r="C176" s="4" t="inlineStr">
        <is>
          <t>https://www.profbau.ru/Услуги</t>
        </is>
      </c>
      <c r="D176" s="18" t="inlineStr">
        <is>
          <t>profbau.ru</t>
        </is>
      </c>
      <c r="E176" s="17" t="n">
        <v>13</v>
      </c>
      <c r="F176" s="19" t="n">
        <v>530</v>
      </c>
      <c r="G176" s="22" t="inlineStr">
        <is>
          <t>Средний сайт</t>
        </is>
      </c>
      <c r="H176" s="18" t="inlineStr">
        <is>
          <t>Услуга / каталог</t>
        </is>
      </c>
    </row>
    <row r="177" ht="15" customHeight="1">
      <c r="A177" s="4" t="inlineStr">
        <is>
          <t>круглая шлифовка</t>
        </is>
      </c>
      <c r="B177" s="17" t="n">
        <v>5</v>
      </c>
      <c r="C177" s="4" t="inlineStr">
        <is>
          <t>https://katana-m.ru/blog/kruglaya-shlifovka-metalla</t>
        </is>
      </c>
      <c r="D177" s="18" t="inlineStr">
        <is>
          <t>katana-m.ru</t>
        </is>
      </c>
      <c r="E177" s="17" t="n">
        <v>1.1</v>
      </c>
      <c r="F177" s="19" t="n">
        <v>22</v>
      </c>
      <c r="G177" s="23" t="inlineStr">
        <is>
          <t>Мини-сайт</t>
        </is>
      </c>
      <c r="H177" s="18" t="inlineStr">
        <is>
          <t>Статья / инфо</t>
        </is>
      </c>
    </row>
    <row r="178" ht="15" customHeight="1">
      <c r="A178" s="4" t="inlineStr">
        <is>
          <t>круглая шлифовка</t>
        </is>
      </c>
      <c r="B178" s="17" t="n">
        <v>7</v>
      </c>
      <c r="C178" s="4" t="inlineStr">
        <is>
          <t>https://polimetservice.ru/services/round-grinding</t>
        </is>
      </c>
      <c r="D178" s="18" t="inlineStr">
        <is>
          <t>polimetservice.ru</t>
        </is>
      </c>
      <c r="E178" s="17" t="n">
        <v>0</v>
      </c>
      <c r="F178" s="19" t="n">
        <v>3</v>
      </c>
      <c r="G178" s="23" t="inlineStr">
        <is>
          <t>Мини-сайт</t>
        </is>
      </c>
      <c r="H178" s="18" t="inlineStr">
        <is>
          <t>Услуга / каталог</t>
        </is>
      </c>
    </row>
    <row r="179" ht="15" customHeight="1">
      <c r="A179" s="4" t="inlineStr">
        <is>
          <t>круглая шлифовка</t>
        </is>
      </c>
      <c r="B179" s="17" t="n">
        <v>8</v>
      </c>
      <c r="C179" s="4" t="inlineStr">
        <is>
          <t>https://cometal.ru/</t>
        </is>
      </c>
      <c r="D179" s="18" t="inlineStr">
        <is>
          <t>cometal.ru</t>
        </is>
      </c>
      <c r="E179" s="17" t="n">
        <v>33</v>
      </c>
      <c r="F179" s="19" t="n">
        <v>376</v>
      </c>
      <c r="G179" s="22" t="inlineStr">
        <is>
          <t>Средний сайт</t>
        </is>
      </c>
      <c r="H179" s="18" t="inlineStr">
        <is>
          <t>Главная страница сайта</t>
        </is>
      </c>
    </row>
    <row r="180" ht="15" customHeight="1">
      <c r="A180" s="4" t="inlineStr">
        <is>
          <t>круглая шлифовка</t>
        </is>
      </c>
      <c r="B180" s="17" t="n">
        <v>9</v>
      </c>
      <c r="C180" s="4" t="inlineStr">
        <is>
          <t>https://zavkon.ru/Шлифование</t>
        </is>
      </c>
      <c r="D180" s="18" t="inlineStr">
        <is>
          <t>zavkon.ru</t>
        </is>
      </c>
      <c r="E180" s="17" t="n">
        <v>0.1</v>
      </c>
      <c r="F180" s="19" t="n">
        <v>52</v>
      </c>
      <c r="G180" s="23" t="inlineStr">
        <is>
          <t>Мини-сайт</t>
        </is>
      </c>
      <c r="H180" s="18" t="inlineStr">
        <is>
          <t>Услуга / каталог</t>
        </is>
      </c>
    </row>
    <row r="181" ht="15" customHeight="1">
      <c r="A181" s="4" t="inlineStr">
        <is>
          <t>круглая шлифовка</t>
        </is>
      </c>
      <c r="B181" s="17" t="n">
        <v>10</v>
      </c>
      <c r="C181" s="4" t="inlineStr">
        <is>
          <t>https://szdo.net/services/kruglaya-i-ploskaya-shlifovka</t>
        </is>
      </c>
      <c r="D181" s="18" t="inlineStr">
        <is>
          <t>szdo.net</t>
        </is>
      </c>
      <c r="E181" s="17" t="n">
        <v>0</v>
      </c>
      <c r="F181" s="19" t="n">
        <v>14</v>
      </c>
      <c r="G181" s="23" t="inlineStr">
        <is>
          <t>Мини-сайт</t>
        </is>
      </c>
      <c r="H181" s="18" t="inlineStr">
        <is>
          <t>Услуга / каталог</t>
        </is>
      </c>
    </row>
    <row r="182" ht="15" customHeight="1">
      <c r="A182" s="4" t="inlineStr">
        <is>
          <t>химическое никелирование</t>
        </is>
      </c>
      <c r="B182" s="17" t="n">
        <v>1</v>
      </c>
      <c r="C182" s="4" t="inlineStr">
        <is>
          <t>https://zctc.ru/sections/chem_nickl</t>
        </is>
      </c>
      <c r="D182" s="18" t="inlineStr">
        <is>
          <t>zctc.ru</t>
        </is>
      </c>
      <c r="E182" s="17" t="n">
        <v>12</v>
      </c>
      <c r="F182" s="19" t="n">
        <v>547</v>
      </c>
      <c r="G182" s="22" t="inlineStr">
        <is>
          <t>Средний сайт</t>
        </is>
      </c>
      <c r="H182" s="18" t="inlineStr">
        <is>
          <t>Услуга / каталог</t>
        </is>
      </c>
    </row>
    <row r="183" ht="15" customHeight="1">
      <c r="A183" s="4" t="inlineStr">
        <is>
          <t>химическое никелирование</t>
        </is>
      </c>
      <c r="B183" s="17" t="n">
        <v>2</v>
      </c>
      <c r="C183" s="4" t="inlineStr">
        <is>
          <t>https://oniks-krep.ru/blog/o-krepezhe/chto-takoe-khimicheskoe-nikelirovanie/</t>
        </is>
      </c>
      <c r="D183" s="18" t="inlineStr">
        <is>
          <t>oniks-krep.ru</t>
        </is>
      </c>
      <c r="E183" s="17" t="n">
        <v>39</v>
      </c>
      <c r="F183" s="19" t="n">
        <v>2617</v>
      </c>
      <c r="G183" s="20" t="inlineStr">
        <is>
          <t>Большой сайт</t>
        </is>
      </c>
      <c r="H183" s="18" t="inlineStr">
        <is>
          <t>Статья / инфо</t>
        </is>
      </c>
    </row>
    <row r="184" ht="15" customHeight="1">
      <c r="A184" s="4" t="inlineStr">
        <is>
          <t>химическое никелирование</t>
        </is>
      </c>
      <c r="B184" s="17" t="n">
        <v>3</v>
      </c>
      <c r="C184" s="4" t="inlineStr">
        <is>
          <t>https://impgold.ru/electroplating/metalplating/electrolysis_nik/</t>
        </is>
      </c>
      <c r="D184" s="18" t="inlineStr">
        <is>
          <t>impgold.ru</t>
        </is>
      </c>
      <c r="E184" s="17" t="n">
        <v>1.1</v>
      </c>
      <c r="F184" s="19" t="n">
        <v>66</v>
      </c>
      <c r="G184" s="23" t="inlineStr">
        <is>
          <t>Мини-сайт</t>
        </is>
      </c>
      <c r="H184" s="18" t="inlineStr">
        <is>
          <t>Прочее</t>
        </is>
      </c>
    </row>
    <row r="185" ht="15" customHeight="1">
      <c r="A185" s="4" t="inlineStr">
        <is>
          <t>химическое никелирование</t>
        </is>
      </c>
      <c r="B185" s="17" t="n">
        <v>5</v>
      </c>
      <c r="C185" s="4" t="inlineStr">
        <is>
          <t>https://new.ras.ru/work/publishing/monographs/khimicheskoe-nikelirovanie/</t>
        </is>
      </c>
      <c r="D185" s="18" t="inlineStr">
        <is>
          <t>new.ras.ru</t>
        </is>
      </c>
      <c r="E185" s="17" t="n">
        <v>77</v>
      </c>
      <c r="F185" s="19" t="n"/>
      <c r="G185" s="21" t="inlineStr">
        <is>
          <t>Портал / форум / вики</t>
        </is>
      </c>
      <c r="H185" s="18" t="inlineStr">
        <is>
          <t>Статья / инфо</t>
        </is>
      </c>
    </row>
    <row r="186" ht="15" customHeight="1">
      <c r="A186" s="4" t="inlineStr">
        <is>
          <t>химическое никелирование</t>
        </is>
      </c>
      <c r="B186" s="17" t="n">
        <v>6</v>
      </c>
      <c r="C186" s="4" t="inlineStr">
        <is>
          <t>https://snabtechmet.ru/uslugi/himicheskoe-nikelirovanie-metallicheskih-izdelij/</t>
        </is>
      </c>
      <c r="D186" s="18" t="inlineStr">
        <is>
          <t>snabtechmet.ru</t>
        </is>
      </c>
      <c r="E186" s="17" t="n">
        <v>12</v>
      </c>
      <c r="F186" s="19" t="n">
        <v>441</v>
      </c>
      <c r="G186" s="22" t="inlineStr">
        <is>
          <t>Средний сайт</t>
        </is>
      </c>
      <c r="H186" s="18" t="inlineStr">
        <is>
          <t>Услуга / каталог</t>
        </is>
      </c>
    </row>
    <row r="187" ht="15" customHeight="1">
      <c r="A187" s="4" t="inlineStr">
        <is>
          <t>химическое никелирование</t>
        </is>
      </c>
      <c r="B187" s="17" t="n">
        <v>7</v>
      </c>
      <c r="C187" s="4" t="inlineStr">
        <is>
          <t>https://ru.wikipedia.org/wiki/Никелирование</t>
        </is>
      </c>
      <c r="D187" s="18" t="inlineStr">
        <is>
          <t>ru.wikipedia.org</t>
        </is>
      </c>
      <c r="E187" s="17" t="n">
        <v>97</v>
      </c>
      <c r="F187" s="19" t="n"/>
      <c r="G187" s="21" t="inlineStr">
        <is>
          <t>Портал / форум / вики</t>
        </is>
      </c>
      <c r="H187" s="18" t="inlineStr">
        <is>
          <t>Статья / инфо</t>
        </is>
      </c>
    </row>
    <row r="188" ht="15" customHeight="1">
      <c r="A188" s="4" t="inlineStr">
        <is>
          <t>химическое никелирование</t>
        </is>
      </c>
      <c r="B188" s="17" t="n">
        <v>8</v>
      </c>
      <c r="C188" s="4" t="inlineStr">
        <is>
          <t>https://npkhrom.ru/service/dekorativnye-pokrytiya/nikelirovanie/himicheskoe/</t>
        </is>
      </c>
      <c r="D188" s="18" t="inlineStr">
        <is>
          <t>npkhrom.ru</t>
        </is>
      </c>
      <c r="E188" s="17" t="n">
        <v>0.5</v>
      </c>
      <c r="F188" s="19" t="n">
        <v>69</v>
      </c>
      <c r="G188" s="23" t="inlineStr">
        <is>
          <t>Мини-сайт</t>
        </is>
      </c>
      <c r="H188" s="18" t="inlineStr">
        <is>
          <t>Услуга / каталог</t>
        </is>
      </c>
    </row>
    <row r="189" ht="15" customHeight="1">
      <c r="A189" s="4" t="inlineStr">
        <is>
          <t>химическое никелирование</t>
        </is>
      </c>
      <c r="B189" s="17" t="n">
        <v>9</v>
      </c>
      <c r="C189" s="4" t="inlineStr">
        <is>
          <t>https://www.ptsmake.com/ru/ultimate-guide-to-electroless-nickel-for-engineers/</t>
        </is>
      </c>
      <c r="D189" s="18" t="inlineStr">
        <is>
          <t>ptsmake.com</t>
        </is>
      </c>
      <c r="E189" s="17" t="n">
        <v>29</v>
      </c>
      <c r="F189" s="19" t="n">
        <v>235</v>
      </c>
      <c r="G189" s="22" t="inlineStr">
        <is>
          <t>Средний сайт</t>
        </is>
      </c>
      <c r="H189" s="18" t="inlineStr">
        <is>
          <t>Статья / инфо</t>
        </is>
      </c>
    </row>
    <row r="190" ht="15" customHeight="1">
      <c r="A190" s="4" t="inlineStr">
        <is>
          <t>покрытие олово-висмут</t>
        </is>
      </c>
      <c r="B190" s="17" t="n">
        <v>2</v>
      </c>
      <c r="C190" s="4" t="inlineStr">
        <is>
          <t>https://hrom-prom.ru/покрытие-олово-висмут/</t>
        </is>
      </c>
      <c r="D190" s="18" t="inlineStr">
        <is>
          <t>hrom-prom.ru</t>
        </is>
      </c>
      <c r="E190" s="17" t="n">
        <v>0.2</v>
      </c>
      <c r="F190" s="19" t="n">
        <v>69</v>
      </c>
      <c r="G190" s="23" t="inlineStr">
        <is>
          <t>Мини-сайт</t>
        </is>
      </c>
      <c r="H190" s="18" t="inlineStr">
        <is>
          <t>Услуга / каталог</t>
        </is>
      </c>
    </row>
    <row r="191" ht="15" customHeight="1">
      <c r="A191" s="4" t="inlineStr">
        <is>
          <t>покрытие олово-висмут</t>
        </is>
      </c>
      <c r="B191" s="17" t="n">
        <v>4</v>
      </c>
      <c r="C191" s="4" t="inlineStr">
        <is>
          <t>https://platings.ru/stanum_vismut</t>
        </is>
      </c>
      <c r="D191" s="18" t="inlineStr">
        <is>
          <t>platings.ru</t>
        </is>
      </c>
      <c r="E191" s="17" t="n">
        <v>0.3</v>
      </c>
      <c r="F191" s="19" t="n">
        <v>65</v>
      </c>
      <c r="G191" s="23" t="inlineStr">
        <is>
          <t>Мини-сайт</t>
        </is>
      </c>
      <c r="H191" s="18" t="inlineStr">
        <is>
          <t>Услуга / каталог</t>
        </is>
      </c>
    </row>
    <row r="192" ht="15" customHeight="1">
      <c r="A192" s="4" t="inlineStr">
        <is>
          <t>покрытие олово-висмут</t>
        </is>
      </c>
      <c r="B192" s="17" t="n">
        <v>5</v>
      </c>
      <c r="C192" s="4" t="inlineStr">
        <is>
          <t>https://galvanica.spb.ru/galvanicheskie-pokrytiya/olovo-vismut</t>
        </is>
      </c>
      <c r="D192" s="18" t="inlineStr">
        <is>
          <t>galvanica.spb.ru</t>
        </is>
      </c>
      <c r="E192" s="17" t="n">
        <v>88</v>
      </c>
      <c r="F192" s="19" t="n">
        <v>15</v>
      </c>
      <c r="G192" s="23" t="inlineStr">
        <is>
          <t>Мини-сайт</t>
        </is>
      </c>
      <c r="H192" s="18" t="inlineStr">
        <is>
          <t>Услуга / каталог</t>
        </is>
      </c>
    </row>
    <row r="193" ht="15" customHeight="1">
      <c r="A193" s="4" t="inlineStr">
        <is>
          <t>покрытие олово-висмут</t>
        </is>
      </c>
      <c r="B193" s="17" t="n">
        <v>6</v>
      </c>
      <c r="C193" s="4" t="inlineStr">
        <is>
          <t>https://vskplast.ru/olovyanirovanie_galvanicheskoe/</t>
        </is>
      </c>
      <c r="D193" s="18" t="inlineStr">
        <is>
          <t>vskplast.ru</t>
        </is>
      </c>
      <c r="E193" s="17" t="n">
        <v>0</v>
      </c>
      <c r="F193" s="19" t="n">
        <v>80</v>
      </c>
      <c r="G193" s="23" t="inlineStr">
        <is>
          <t>Мини-сайт</t>
        </is>
      </c>
      <c r="H193" s="18" t="inlineStr">
        <is>
          <t>Услуга / каталог</t>
        </is>
      </c>
    </row>
    <row r="194" ht="15" customHeight="1">
      <c r="A194" s="4" t="inlineStr">
        <is>
          <t>покрытие олово-висмут</t>
        </is>
      </c>
      <c r="B194" s="17" t="n">
        <v>7</v>
      </c>
      <c r="C194" s="4" t="inlineStr">
        <is>
          <t>https://vlad.snabtechmet.ru/uslugi/pokrytie-izdelij-splavom-olovo-vismut/</t>
        </is>
      </c>
      <c r="D194" s="18" t="inlineStr">
        <is>
          <t>snabtechmet.ru</t>
        </is>
      </c>
      <c r="E194" s="17" t="n">
        <v>12</v>
      </c>
      <c r="F194" s="19" t="n">
        <v>441</v>
      </c>
      <c r="G194" s="22" t="inlineStr">
        <is>
          <t>Средний сайт</t>
        </is>
      </c>
      <c r="H194" s="18" t="inlineStr">
        <is>
          <t>Услуга / каталог</t>
        </is>
      </c>
    </row>
    <row r="195" ht="15" customHeight="1">
      <c r="A195" s="4" t="inlineStr">
        <is>
          <t>покрытие олово-висмут</t>
        </is>
      </c>
      <c r="B195" s="17" t="n">
        <v>8</v>
      </c>
      <c r="C195" s="4" t="inlineStr">
        <is>
          <t>https://forum-galvanik.ru/topic/640-покрытие-олово-висмут/</t>
        </is>
      </c>
      <c r="D195" s="18" t="inlineStr">
        <is>
          <t>forum-galvanik.ru</t>
        </is>
      </c>
      <c r="E195" s="17" t="n">
        <v>0.2</v>
      </c>
      <c r="F195" s="19" t="n">
        <v>38</v>
      </c>
      <c r="G195" s="21" t="inlineStr">
        <is>
          <t>Портал / форум / вики</t>
        </is>
      </c>
      <c r="H195" s="18" t="inlineStr">
        <is>
          <t>Статья / инфо</t>
        </is>
      </c>
    </row>
    <row r="196" ht="15" customHeight="1">
      <c r="A196" s="4" t="inlineStr">
        <is>
          <t>покрытие олово-висмут</t>
        </is>
      </c>
      <c r="B196" s="17" t="n">
        <v>9</v>
      </c>
      <c r="C196" s="4" t="inlineStr">
        <is>
          <t>http://www.zao-techno.ru/content/view/31/37/</t>
        </is>
      </c>
      <c r="D196" s="18" t="inlineStr">
        <is>
          <t>zao-techno.ru</t>
        </is>
      </c>
      <c r="E196" s="17" t="n">
        <v>0.3</v>
      </c>
      <c r="F196" s="19" t="n">
        <v>21</v>
      </c>
      <c r="G196" s="23" t="inlineStr">
        <is>
          <t>Мини-сайт</t>
        </is>
      </c>
      <c r="H196" s="18" t="inlineStr">
        <is>
          <t>Прочее</t>
        </is>
      </c>
    </row>
    <row r="197" ht="27" customHeight="1">
      <c r="A197" s="4" t="inlineStr">
        <is>
          <t>покрытие олово-висмут</t>
        </is>
      </c>
      <c r="B197" s="17" t="n">
        <v>10</v>
      </c>
      <c r="C197" s="4" t="inlineStr">
        <is>
          <t>https://uralactiv.ru/galvanicheskoe-oborudovanie/galvanicheskie-vanny/olovo-vismut/</t>
        </is>
      </c>
      <c r="D197" s="18" t="inlineStr">
        <is>
          <t>uralactiv.ru</t>
        </is>
      </c>
      <c r="E197" s="17" t="n">
        <v>9</v>
      </c>
      <c r="F197" s="19" t="n">
        <v>250</v>
      </c>
      <c r="G197" s="22" t="inlineStr">
        <is>
          <t>Средний сайт</t>
        </is>
      </c>
      <c r="H197" s="18" t="inlineStr">
        <is>
          <t>Прочее</t>
        </is>
      </c>
    </row>
    <row r="198" ht="15" customHeight="1">
      <c r="A198" s="4" t="inlineStr">
        <is>
          <t>плоская шлифовка</t>
        </is>
      </c>
      <c r="B198" s="17" t="n"/>
      <c r="C198" s="4" t="inlineStr">
        <is>
          <t>Выдачи в Ahrefs нет</t>
        </is>
      </c>
      <c r="D198" s="18" t="n"/>
      <c r="E198" s="17" t="n"/>
      <c r="F198" s="19" t="n"/>
      <c r="G198" s="24" t="inlineStr">
        <is>
          <t>Нет данных</t>
        </is>
      </c>
      <c r="H198" s="18" t="n"/>
    </row>
    <row r="199" ht="15" customHeight="1">
      <c r="A199" s="4" t="inlineStr">
        <is>
          <t>твердое анодирование алюминия</t>
        </is>
      </c>
      <c r="B199" s="17" t="n"/>
      <c r="C199" s="4" t="inlineStr">
        <is>
          <t>Выдачи в Ahrefs нет</t>
        </is>
      </c>
      <c r="D199" s="18" t="n"/>
      <c r="E199" s="17" t="n"/>
      <c r="F199" s="19" t="n"/>
      <c r="G199" s="24" t="inlineStr">
        <is>
          <t>Нет данных</t>
        </is>
      </c>
      <c r="H199" s="18" t="n"/>
    </row>
    <row r="200" ht="15" customHeight="1">
      <c r="A200" s="4" t="inlineStr">
        <is>
          <t>эматалирование</t>
        </is>
      </c>
      <c r="B200" s="17" t="n"/>
      <c r="C200" s="4" t="inlineStr">
        <is>
          <t>Выдачи в Ahrefs нет</t>
        </is>
      </c>
      <c r="D200" s="18" t="n"/>
      <c r="E200" s="17" t="n"/>
      <c r="F200" s="19" t="n"/>
      <c r="G200" s="24" t="inlineStr">
        <is>
          <t>Нет данных</t>
        </is>
      </c>
      <c r="H200" s="18" t="n"/>
    </row>
  </sheetData>
  <autoFilter ref="A1:H20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9"/>
  <sheetViews>
    <sheetView workbookViewId="0">
      <pane ySplit="1" topLeftCell="A2" activePane="bottomLeft" state="frozen"/>
      <selection pane="bottomLeft" activeCell="A1" sqref="A1"/>
    </sheetView>
  </sheetViews>
  <sheetFormatPr baseColWidth="8" defaultRowHeight="15"/>
  <cols>
    <col width="30" customWidth="1" min="1" max="1"/>
    <col width="42" customWidth="1" min="2" max="2"/>
    <col width="16" customWidth="1" min="3" max="3"/>
    <col width="13" customWidth="1" min="4" max="4"/>
    <col width="15" customWidth="1" min="5" max="5"/>
  </cols>
  <sheetData>
    <row r="1" ht="32" customHeight="1">
      <c r="A1" s="1" t="inlineStr">
        <is>
          <t>№ у клиента</t>
        </is>
      </c>
      <c r="B1" s="1" t="inlineStr">
        <is>
          <t>Запрос</t>
        </is>
      </c>
      <c r="C1" s="1" t="inlineStr">
        <is>
          <t>Объём, Ahrefs RU (Google), мес.</t>
        </is>
      </c>
      <c r="D1" s="1" t="inlineStr">
        <is>
          <t>Сложность KD</t>
        </is>
      </c>
      <c r="E1" s="1" t="inlineStr">
        <is>
          <t>Wordstat точная</t>
        </is>
      </c>
    </row>
    <row r="2" ht="15" customHeight="1">
      <c r="A2" s="4" t="n">
        <v>29</v>
      </c>
      <c r="B2" s="4" t="inlineStr">
        <is>
          <t>лазерная резка металла</t>
        </is>
      </c>
      <c r="C2" s="19" t="n">
        <v>1000</v>
      </c>
      <c r="D2" s="17" t="n">
        <v>0</v>
      </c>
      <c r="E2" s="17" t="n"/>
    </row>
    <row r="3" ht="15" customHeight="1">
      <c r="A3" s="4" t="n">
        <v>29</v>
      </c>
      <c r="B3" s="4" t="inlineStr">
        <is>
          <t>лазерная резка</t>
        </is>
      </c>
      <c r="C3" s="19" t="n">
        <v>600</v>
      </c>
      <c r="D3" s="17" t="n">
        <v>5</v>
      </c>
      <c r="E3" s="17" t="n"/>
    </row>
    <row r="4" ht="15" customHeight="1">
      <c r="A4" s="4" t="n">
        <v>29</v>
      </c>
      <c r="B4" s="4" t="inlineStr">
        <is>
          <t>лазерная резка нержавейки</t>
        </is>
      </c>
      <c r="C4" s="19" t="n">
        <v>500</v>
      </c>
      <c r="D4" s="17" t="n">
        <v>0</v>
      </c>
      <c r="E4" s="17" t="n"/>
    </row>
    <row r="5" ht="15" customHeight="1">
      <c r="A5" s="4" t="n">
        <v>29</v>
      </c>
      <c r="B5" s="4" t="inlineStr">
        <is>
          <t>лазерная резка нержавеющей стали</t>
        </is>
      </c>
      <c r="C5" s="19" t="n">
        <v>300</v>
      </c>
      <c r="D5" s="17" t="n">
        <v>0</v>
      </c>
      <c r="E5" s="17" t="n"/>
    </row>
    <row r="6" ht="15" customHeight="1">
      <c r="A6" s="4" t="n">
        <v>29</v>
      </c>
      <c r="B6" s="4" t="inlineStr">
        <is>
          <t>резка нержавейки лазером</t>
        </is>
      </c>
      <c r="C6" s="19" t="n">
        <v>200</v>
      </c>
      <c r="D6" s="17" t="n">
        <v>0</v>
      </c>
      <c r="E6" s="17" t="n">
        <v>22</v>
      </c>
    </row>
    <row r="7" ht="15" customHeight="1">
      <c r="A7" s="4" t="n">
        <v>29</v>
      </c>
      <c r="B7" s="4" t="inlineStr">
        <is>
          <t>лазерная резка металла нижний новгород</t>
        </is>
      </c>
      <c r="C7" s="19" t="n">
        <v>50</v>
      </c>
      <c r="D7" s="17" t="n">
        <v>0</v>
      </c>
      <c r="E7" s="17" t="n"/>
    </row>
    <row r="8" ht="15" customHeight="1">
      <c r="A8" s="4" t="n">
        <v>29</v>
      </c>
      <c r="B8" s="4" t="inlineStr">
        <is>
          <t>лазерная резка нижний новгород</t>
        </is>
      </c>
      <c r="C8" s="19" t="n">
        <v>40</v>
      </c>
      <c r="D8" s="17" t="n"/>
      <c r="E8" s="17" t="n"/>
    </row>
    <row r="9" ht="15" customHeight="1">
      <c r="A9" s="4" t="n">
        <v>29</v>
      </c>
      <c r="B9" s="4" t="inlineStr">
        <is>
          <t>лазерная резка нержавейки нижний новгород</t>
        </is>
      </c>
      <c r="C9" s="19" t="n">
        <v>0</v>
      </c>
      <c r="D9" s="17" t="n"/>
      <c r="E9" s="17" t="n"/>
    </row>
    <row r="10" ht="15" customHeight="1">
      <c r="A10" s="4" t="n">
        <v>10</v>
      </c>
      <c r="B10" s="4" t="inlineStr">
        <is>
          <t>анодирование</t>
        </is>
      </c>
      <c r="C10" s="19" t="n">
        <v>900</v>
      </c>
      <c r="D10" s="17" t="n">
        <v>7</v>
      </c>
      <c r="E10" s="17" t="n"/>
    </row>
    <row r="11" ht="15" customHeight="1">
      <c r="A11" s="4" t="n">
        <v>10</v>
      </c>
      <c r="B11" s="4" t="inlineStr">
        <is>
          <t>анодирование алюминия</t>
        </is>
      </c>
      <c r="C11" s="19" t="n">
        <v>600</v>
      </c>
      <c r="D11" s="17" t="n">
        <v>0</v>
      </c>
      <c r="E11" s="17" t="n"/>
    </row>
    <row r="12" ht="15" customHeight="1">
      <c r="A12" s="4" t="n">
        <v>10</v>
      </c>
      <c r="B12" s="4" t="inlineStr">
        <is>
          <t>анодное оксидирование</t>
        </is>
      </c>
      <c r="C12" s="19" t="n">
        <v>80</v>
      </c>
      <c r="D12" s="17" t="n">
        <v>0</v>
      </c>
      <c r="E12" s="17" t="n"/>
    </row>
    <row r="13" ht="15" customHeight="1">
      <c r="A13" s="4" t="n">
        <v>10</v>
      </c>
      <c r="B13" s="4" t="inlineStr">
        <is>
          <t>анодирование алюминия цена</t>
        </is>
      </c>
      <c r="C13" s="19" t="n">
        <v>70</v>
      </c>
      <c r="D13" s="17" t="n">
        <v>0</v>
      </c>
      <c r="E13" s="17" t="n"/>
    </row>
    <row r="14" ht="15" customHeight="1">
      <c r="A14" s="4" t="n">
        <v>10</v>
      </c>
      <c r="B14" s="4" t="inlineStr">
        <is>
          <t>цветное анодирование алюминия</t>
        </is>
      </c>
      <c r="C14" s="19" t="n">
        <v>30</v>
      </c>
      <c r="D14" s="17" t="n">
        <v>14</v>
      </c>
      <c r="E14" s="17" t="n"/>
    </row>
    <row r="15" ht="15" customHeight="1">
      <c r="A15" s="4" t="n">
        <v>10</v>
      </c>
      <c r="B15" s="4" t="inlineStr">
        <is>
          <t>анодирование нижний новгород</t>
        </is>
      </c>
      <c r="C15" s="19" t="n">
        <v>0</v>
      </c>
      <c r="D15" s="17" t="n"/>
      <c r="E15" s="17" t="n"/>
    </row>
    <row r="16" ht="15" customHeight="1">
      <c r="A16" s="4" t="n">
        <v>1</v>
      </c>
      <c r="B16" s="4" t="inlineStr">
        <is>
          <t>цинкование</t>
        </is>
      </c>
      <c r="C16" s="19" t="n">
        <v>400</v>
      </c>
      <c r="D16" s="17" t="n">
        <v>0</v>
      </c>
      <c r="E16" s="17" t="n"/>
    </row>
    <row r="17" ht="15" customHeight="1">
      <c r="A17" s="4" t="n">
        <v>1</v>
      </c>
      <c r="B17" s="4" t="inlineStr">
        <is>
          <t>цинкование металла</t>
        </is>
      </c>
      <c r="C17" s="19" t="n">
        <v>300</v>
      </c>
      <c r="D17" s="17" t="n">
        <v>0</v>
      </c>
      <c r="E17" s="17" t="n"/>
    </row>
    <row r="18" ht="15" customHeight="1">
      <c r="A18" s="4" t="n">
        <v>1</v>
      </c>
      <c r="B18" s="4" t="inlineStr">
        <is>
          <t>гальваническое цинкование</t>
        </is>
      </c>
      <c r="C18" s="19" t="n">
        <v>150</v>
      </c>
      <c r="D18" s="17" t="n">
        <v>0</v>
      </c>
      <c r="E18" s="17" t="n"/>
    </row>
    <row r="19" ht="15" customHeight="1">
      <c r="A19" s="4" t="n">
        <v>1</v>
      </c>
      <c r="B19" s="4" t="inlineStr">
        <is>
          <t>цинкование деталей</t>
        </is>
      </c>
      <c r="C19" s="19" t="n">
        <v>50</v>
      </c>
      <c r="D19" s="17" t="n">
        <v>0</v>
      </c>
      <c r="E19" s="17" t="n"/>
    </row>
    <row r="20" ht="15" customHeight="1">
      <c r="A20" s="4" t="n">
        <v>1</v>
      </c>
      <c r="B20" s="4" t="inlineStr">
        <is>
          <t>черное цинкование</t>
        </is>
      </c>
      <c r="C20" s="19" t="n">
        <v>30</v>
      </c>
      <c r="D20" s="17" t="n"/>
      <c r="E20" s="17" t="n"/>
    </row>
    <row r="21" ht="15" customHeight="1">
      <c r="A21" s="4" t="n">
        <v>1</v>
      </c>
      <c r="B21" s="4" t="inlineStr">
        <is>
          <t>цинкование с хроматированием</t>
        </is>
      </c>
      <c r="C21" s="19" t="n">
        <v>20</v>
      </c>
      <c r="D21" s="17" t="n"/>
      <c r="E21" s="17" t="n"/>
    </row>
    <row r="22" ht="15" customHeight="1">
      <c r="A22" s="4" t="n">
        <v>1</v>
      </c>
      <c r="B22" s="4" t="inlineStr">
        <is>
          <t>оцинковка деталей</t>
        </is>
      </c>
      <c r="C22" s="19" t="n">
        <v>20</v>
      </c>
      <c r="D22" s="17" t="n"/>
      <c r="E22" s="17" t="n"/>
    </row>
    <row r="23" ht="15" customHeight="1">
      <c r="A23" s="4" t="n">
        <v>1</v>
      </c>
      <c r="B23" s="4" t="inlineStr">
        <is>
          <t>цинкование цена</t>
        </is>
      </c>
      <c r="C23" s="19" t="n">
        <v>20</v>
      </c>
      <c r="D23" s="17" t="n">
        <v>0</v>
      </c>
      <c r="E23" s="17" t="n"/>
    </row>
    <row r="24" ht="15" customHeight="1">
      <c r="A24" s="4" t="n">
        <v>1</v>
      </c>
      <c r="B24" s="4" t="inlineStr">
        <is>
          <t>желтое цинкование</t>
        </is>
      </c>
      <c r="C24" s="19" t="n">
        <v>10</v>
      </c>
      <c r="D24" s="17" t="n"/>
      <c r="E24" s="17" t="n"/>
    </row>
    <row r="25" ht="15" customHeight="1">
      <c r="A25" s="4" t="n">
        <v>1</v>
      </c>
      <c r="B25" s="4" t="inlineStr">
        <is>
          <t>цинкование крепежа</t>
        </is>
      </c>
      <c r="C25" s="19" t="n">
        <v>10</v>
      </c>
      <c r="D25" s="17" t="n"/>
      <c r="E25" s="17" t="n"/>
    </row>
    <row r="26" ht="15" customHeight="1">
      <c r="A26" s="4" t="n">
        <v>1</v>
      </c>
      <c r="B26" s="4" t="inlineStr">
        <is>
          <t>цинкование нижний новгород</t>
        </is>
      </c>
      <c r="C26" s="19" t="n">
        <v>0</v>
      </c>
      <c r="D26" s="17" t="n"/>
      <c r="E26" s="17" t="n"/>
    </row>
    <row r="27" ht="15" customHeight="1">
      <c r="A27" s="4" t="n">
        <v>25</v>
      </c>
      <c r="B27" s="4" t="inlineStr">
        <is>
          <t>пассивация</t>
        </is>
      </c>
      <c r="C27" s="19" t="n">
        <v>300</v>
      </c>
      <c r="D27" s="17" t="n">
        <v>0</v>
      </c>
      <c r="E27" s="17" t="n"/>
    </row>
    <row r="28" ht="15" customHeight="1">
      <c r="A28" s="4" t="n">
        <v>25</v>
      </c>
      <c r="B28" s="4" t="inlineStr">
        <is>
          <t>пассивация металла</t>
        </is>
      </c>
      <c r="C28" s="19" t="n">
        <v>150</v>
      </c>
      <c r="D28" s="17" t="n">
        <v>0</v>
      </c>
      <c r="E28" s="17" t="n"/>
    </row>
    <row r="29" ht="15" customHeight="1">
      <c r="A29" s="4" t="n">
        <v>25</v>
      </c>
      <c r="B29" s="4" t="inlineStr">
        <is>
          <t>пассивация нержавейки</t>
        </is>
      </c>
      <c r="C29" s="19" t="n">
        <v>150</v>
      </c>
      <c r="D29" s="17" t="n">
        <v>0</v>
      </c>
      <c r="E29" s="17" t="n"/>
    </row>
    <row r="30" ht="15" customHeight="1">
      <c r="A30" s="4" t="n">
        <v>25</v>
      </c>
      <c r="B30" s="4" t="inlineStr">
        <is>
          <t>пассивация нержавеющей стали</t>
        </is>
      </c>
      <c r="C30" s="19" t="n">
        <v>80</v>
      </c>
      <c r="D30" s="17" t="n">
        <v>0</v>
      </c>
      <c r="E30" s="17" t="n"/>
    </row>
    <row r="31" ht="15" customHeight="1">
      <c r="A31" s="4" t="n">
        <v>8</v>
      </c>
      <c r="B31" s="4" t="inlineStr">
        <is>
          <t>травление металла</t>
        </is>
      </c>
      <c r="C31" s="19" t="n">
        <v>150</v>
      </c>
      <c r="D31" s="17" t="n">
        <v>0</v>
      </c>
      <c r="E31" s="17" t="n"/>
    </row>
    <row r="32" ht="15" customHeight="1">
      <c r="A32" s="4" t="n">
        <v>8</v>
      </c>
      <c r="B32" s="4" t="inlineStr">
        <is>
          <t>травление нержавеющей стали</t>
        </is>
      </c>
      <c r="C32" s="19" t="n">
        <v>40</v>
      </c>
      <c r="D32" s="17" t="n"/>
      <c r="E32" s="17" t="n"/>
    </row>
    <row r="33" ht="15" customHeight="1">
      <c r="A33" s="4" t="n">
        <v>8</v>
      </c>
      <c r="B33" s="4" t="inlineStr">
        <is>
          <t>травление нержавейки</t>
        </is>
      </c>
      <c r="C33" s="19" t="n">
        <v>30</v>
      </c>
      <c r="D33" s="17" t="n">
        <v>0</v>
      </c>
      <c r="E33" s="17" t="n"/>
    </row>
    <row r="34" ht="15" customHeight="1">
      <c r="A34" s="4" t="n">
        <v>8</v>
      </c>
      <c r="B34" s="4" t="inlineStr">
        <is>
          <t>травление сварных швов</t>
        </is>
      </c>
      <c r="C34" s="19" t="n">
        <v>0</v>
      </c>
      <c r="D34" s="17" t="n"/>
      <c r="E34" s="17" t="n"/>
    </row>
    <row r="35" ht="15" customHeight="1">
      <c r="A35" s="4" t="n">
        <v>8</v>
      </c>
      <c r="B35" s="4" t="inlineStr">
        <is>
          <t>травление и пассивация</t>
        </is>
      </c>
      <c r="C35" s="19" t="n">
        <v>0</v>
      </c>
      <c r="D35" s="17" t="n"/>
      <c r="E35" s="17" t="n"/>
    </row>
    <row r="36" ht="15" customHeight="1">
      <c r="A36" s="4" t="n">
        <v>30</v>
      </c>
      <c r="B36" s="4" t="inlineStr">
        <is>
          <t>гидроабразивная резка</t>
        </is>
      </c>
      <c r="C36" s="19" t="n">
        <v>350</v>
      </c>
      <c r="D36" s="17" t="n">
        <v>17</v>
      </c>
      <c r="E36" s="17" t="n"/>
    </row>
    <row r="37" ht="15" customHeight="1">
      <c r="A37" s="4" t="n">
        <v>30</v>
      </c>
      <c r="B37" s="4" t="inlineStr">
        <is>
          <t>гидроабразивная резка металла</t>
        </is>
      </c>
      <c r="C37" s="19" t="n">
        <v>300</v>
      </c>
      <c r="D37" s="17" t="n">
        <v>6</v>
      </c>
      <c r="E37" s="17" t="n"/>
    </row>
    <row r="38" ht="15" customHeight="1">
      <c r="A38" s="4" t="n">
        <v>30</v>
      </c>
      <c r="B38" s="4" t="inlineStr">
        <is>
          <t>гидрорезка</t>
        </is>
      </c>
      <c r="C38" s="19" t="n">
        <v>200</v>
      </c>
      <c r="D38" s="17" t="n">
        <v>0</v>
      </c>
      <c r="E38" s="17" t="n"/>
    </row>
    <row r="39" ht="15" customHeight="1">
      <c r="A39" s="4" t="n">
        <v>30</v>
      </c>
      <c r="B39" s="4" t="inlineStr">
        <is>
          <t>гидроабразивная резка нижний новгород</t>
        </is>
      </c>
      <c r="C39" s="19" t="n">
        <v>20</v>
      </c>
      <c r="D39" s="17" t="n"/>
      <c r="E39" s="17" t="n"/>
    </row>
    <row r="40" ht="15" customHeight="1">
      <c r="A40" s="4" t="inlineStr">
        <is>
          <t>Хаб</t>
        </is>
      </c>
      <c r="B40" s="4" t="inlineStr">
        <is>
          <t>гальванические покрытия</t>
        </is>
      </c>
      <c r="C40" s="19" t="n">
        <v>150</v>
      </c>
      <c r="D40" s="17" t="n">
        <v>0</v>
      </c>
      <c r="E40" s="17" t="n"/>
    </row>
    <row r="41" ht="15" customHeight="1">
      <c r="A41" s="4" t="inlineStr">
        <is>
          <t>Хаб</t>
        </is>
      </c>
      <c r="B41" s="4" t="inlineStr">
        <is>
          <t>гальваническое покрытие металла</t>
        </is>
      </c>
      <c r="C41" s="19" t="n">
        <v>90</v>
      </c>
      <c r="D41" s="17" t="n">
        <v>0</v>
      </c>
      <c r="E41" s="17" t="n"/>
    </row>
    <row r="42" ht="15" customHeight="1">
      <c r="A42" s="4" t="inlineStr">
        <is>
          <t>Хаб</t>
        </is>
      </c>
      <c r="B42" s="4" t="inlineStr">
        <is>
          <t>нанесение гальванических покрытий</t>
        </is>
      </c>
      <c r="C42" s="19" t="n">
        <v>80</v>
      </c>
      <c r="D42" s="17" t="n">
        <v>0</v>
      </c>
      <c r="E42" s="17" t="n"/>
    </row>
    <row r="43" ht="15" customHeight="1">
      <c r="A43" s="4" t="inlineStr">
        <is>
          <t>Хаб</t>
        </is>
      </c>
      <c r="B43" s="4" t="inlineStr">
        <is>
          <t>услуги гальваники</t>
        </is>
      </c>
      <c r="C43" s="19" t="n">
        <v>40</v>
      </c>
      <c r="D43" s="17" t="n">
        <v>0</v>
      </c>
      <c r="E43" s="17" t="n"/>
    </row>
    <row r="44" ht="15" customHeight="1">
      <c r="A44" s="4" t="inlineStr">
        <is>
          <t>Хаб</t>
        </is>
      </c>
      <c r="B44" s="4" t="inlineStr">
        <is>
          <t>гальваника на заказ</t>
        </is>
      </c>
      <c r="C44" s="19" t="n">
        <v>20</v>
      </c>
      <c r="D44" s="17" t="n"/>
      <c r="E44" s="17" t="n"/>
    </row>
    <row r="45" ht="15" customHeight="1">
      <c r="A45" s="4" t="inlineStr">
        <is>
          <t>Хаб</t>
        </is>
      </c>
      <c r="B45" s="4" t="inlineStr">
        <is>
          <t>гальваника нижний новгород</t>
        </is>
      </c>
      <c r="C45" s="19" t="n">
        <v>0</v>
      </c>
      <c r="D45" s="17" t="n"/>
      <c r="E45" s="17" t="n"/>
    </row>
    <row r="46" ht="15" customHeight="1">
      <c r="A46" s="4" t="n">
        <v>18</v>
      </c>
      <c r="B46" s="4" t="inlineStr">
        <is>
          <t>хромирование</t>
        </is>
      </c>
      <c r="C46" s="19" t="n">
        <v>250</v>
      </c>
      <c r="D46" s="17" t="n">
        <v>0</v>
      </c>
      <c r="E46" s="17" t="n"/>
    </row>
    <row r="47" ht="15" customHeight="1">
      <c r="A47" s="4" t="n">
        <v>18</v>
      </c>
      <c r="B47" s="4" t="inlineStr">
        <is>
          <t>хромирование деталей</t>
        </is>
      </c>
      <c r="C47" s="19" t="n">
        <v>250</v>
      </c>
      <c r="D47" s="17" t="n">
        <v>0</v>
      </c>
      <c r="E47" s="17" t="n"/>
    </row>
    <row r="48" ht="15" customHeight="1">
      <c r="A48" s="4" t="n">
        <v>18</v>
      </c>
      <c r="B48" s="4" t="inlineStr">
        <is>
          <t>гальваническое хромирование</t>
        </is>
      </c>
      <c r="C48" s="19" t="n">
        <v>80</v>
      </c>
      <c r="D48" s="17" t="n">
        <v>0</v>
      </c>
      <c r="E48" s="17" t="n"/>
    </row>
    <row r="49" ht="15" customHeight="1">
      <c r="A49" s="4" t="n">
        <v>18</v>
      </c>
      <c r="B49" s="4" t="inlineStr">
        <is>
          <t>твердое хромирование</t>
        </is>
      </c>
      <c r="C49" s="19" t="n">
        <v>20</v>
      </c>
      <c r="D49" s="17" t="n">
        <v>0</v>
      </c>
      <c r="E49" s="17" t="n"/>
    </row>
    <row r="50" ht="15" customHeight="1">
      <c r="A50" s="4" t="n">
        <v>18</v>
      </c>
      <c r="B50" s="4" t="inlineStr">
        <is>
          <t>хромирование штоков</t>
        </is>
      </c>
      <c r="C50" s="19" t="n">
        <v>0</v>
      </c>
      <c r="D50" s="17" t="n"/>
      <c r="E50" s="17" t="n"/>
    </row>
    <row r="51" ht="15" customHeight="1">
      <c r="A51" s="4" t="n">
        <v>18</v>
      </c>
      <c r="B51" s="4" t="inlineStr">
        <is>
          <t>хромирование нижний новгород</t>
        </is>
      </c>
      <c r="C51" s="19" t="n">
        <v>0</v>
      </c>
      <c r="D51" s="17" t="n"/>
      <c r="E51" s="17" t="n"/>
    </row>
    <row r="52" ht="15" customHeight="1">
      <c r="A52" s="4" t="n">
        <v>4</v>
      </c>
      <c r="B52" s="4" t="inlineStr">
        <is>
          <t>никелирование</t>
        </is>
      </c>
      <c r="C52" s="19" t="n">
        <v>350</v>
      </c>
      <c r="D52" s="17" t="n">
        <v>0</v>
      </c>
      <c r="E52" s="17" t="n"/>
    </row>
    <row r="53" ht="15" customHeight="1">
      <c r="A53" s="4" t="n">
        <v>4</v>
      </c>
      <c r="B53" s="4" t="inlineStr">
        <is>
          <t>гальваническое никелирование</t>
        </is>
      </c>
      <c r="C53" s="19" t="n">
        <v>60</v>
      </c>
      <c r="D53" s="17" t="n">
        <v>0</v>
      </c>
      <c r="E53" s="17" t="n"/>
    </row>
    <row r="54" ht="15" customHeight="1">
      <c r="A54" s="4" t="n">
        <v>4</v>
      </c>
      <c r="B54" s="4" t="inlineStr">
        <is>
          <t>никелирование металла</t>
        </is>
      </c>
      <c r="C54" s="19" t="n">
        <v>50</v>
      </c>
      <c r="D54" s="17" t="n">
        <v>0</v>
      </c>
      <c r="E54" s="17" t="n"/>
    </row>
    <row r="55" ht="15" customHeight="1">
      <c r="A55" s="4" t="n">
        <v>4</v>
      </c>
      <c r="B55" s="4" t="inlineStr">
        <is>
          <t>никелирование деталей</t>
        </is>
      </c>
      <c r="C55" s="19" t="n">
        <v>50</v>
      </c>
      <c r="D55" s="17" t="n">
        <v>0</v>
      </c>
      <c r="E55" s="17" t="n"/>
    </row>
    <row r="56" ht="15" customHeight="1">
      <c r="A56" s="4" t="n">
        <v>4</v>
      </c>
      <c r="B56" s="4" t="inlineStr">
        <is>
          <t>блестящее никелирование</t>
        </is>
      </c>
      <c r="C56" s="19" t="n">
        <v>0</v>
      </c>
      <c r="D56" s="17" t="n"/>
      <c r="E56" s="17" t="n"/>
    </row>
    <row r="57" ht="15" customHeight="1">
      <c r="A57" s="4" t="n">
        <v>6</v>
      </c>
      <c r="B57" s="4" t="inlineStr">
        <is>
          <t>электрополировка</t>
        </is>
      </c>
      <c r="C57" s="19" t="n">
        <v>90</v>
      </c>
      <c r="D57" s="17" t="n">
        <v>0</v>
      </c>
      <c r="E57" s="17" t="n"/>
    </row>
    <row r="58" ht="15" customHeight="1">
      <c r="A58" s="4" t="n">
        <v>6</v>
      </c>
      <c r="B58" s="4" t="inlineStr">
        <is>
          <t>электрохимическая полировка</t>
        </is>
      </c>
      <c r="C58" s="19" t="n">
        <v>80</v>
      </c>
      <c r="D58" s="17" t="n">
        <v>0</v>
      </c>
      <c r="E58" s="17" t="n"/>
    </row>
    <row r="59" ht="15" customHeight="1">
      <c r="A59" s="4" t="n">
        <v>6</v>
      </c>
      <c r="B59" s="4" t="inlineStr">
        <is>
          <t>электрохимическая полировка нержавейки</t>
        </is>
      </c>
      <c r="C59" s="19" t="n">
        <v>30</v>
      </c>
      <c r="D59" s="17" t="n">
        <v>0</v>
      </c>
      <c r="E59" s="17" t="n"/>
    </row>
    <row r="60" ht="15" customHeight="1">
      <c r="A60" s="4" t="n">
        <v>6</v>
      </c>
      <c r="B60" s="4" t="inlineStr">
        <is>
          <t>электрополировка нержавеющей стали</t>
        </is>
      </c>
      <c r="C60" s="19" t="n">
        <v>30</v>
      </c>
      <c r="D60" s="17" t="n"/>
      <c r="E60" s="17" t="n"/>
    </row>
    <row r="61" ht="15" customHeight="1">
      <c r="A61" s="4" t="n">
        <v>6</v>
      </c>
      <c r="B61" s="4" t="inlineStr">
        <is>
          <t>электрополировка нержавейки</t>
        </is>
      </c>
      <c r="C61" s="19" t="n">
        <v>10</v>
      </c>
      <c r="D61" s="17" t="n"/>
      <c r="E61" s="17" t="n"/>
    </row>
    <row r="62" ht="15" customHeight="1">
      <c r="A62" s="4" t="n">
        <v>9</v>
      </c>
      <c r="B62" s="4" t="inlineStr">
        <is>
          <t>воронение металла</t>
        </is>
      </c>
      <c r="C62" s="19" t="n">
        <v>350</v>
      </c>
      <c r="D62" s="17" t="n">
        <v>0</v>
      </c>
      <c r="E62" s="17" t="n"/>
    </row>
    <row r="63" ht="15" customHeight="1">
      <c r="A63" s="4" t="n">
        <v>9</v>
      </c>
      <c r="B63" s="4" t="inlineStr">
        <is>
          <t>оксидирование</t>
        </is>
      </c>
      <c r="C63" s="19" t="n">
        <v>250</v>
      </c>
      <c r="D63" s="17" t="n">
        <v>0</v>
      </c>
      <c r="E63" s="17" t="n"/>
    </row>
    <row r="64" ht="15" customHeight="1">
      <c r="A64" s="4" t="n">
        <v>9</v>
      </c>
      <c r="B64" s="4" t="inlineStr">
        <is>
          <t>оксидирование стали</t>
        </is>
      </c>
      <c r="C64" s="19" t="n">
        <v>150</v>
      </c>
      <c r="D64" s="17" t="n">
        <v>0</v>
      </c>
      <c r="E64" s="17" t="n"/>
    </row>
    <row r="65" ht="15" customHeight="1">
      <c r="A65" s="4" t="n">
        <v>9</v>
      </c>
      <c r="B65" s="4" t="inlineStr">
        <is>
          <t>химическое оксидирование</t>
        </is>
      </c>
      <c r="C65" s="19" t="n">
        <v>100</v>
      </c>
      <c r="D65" s="17" t="n">
        <v>0</v>
      </c>
      <c r="E65" s="17" t="n"/>
    </row>
    <row r="66" ht="15" customHeight="1">
      <c r="A66" s="4" t="n">
        <v>9</v>
      </c>
      <c r="B66" s="4" t="inlineStr">
        <is>
          <t>химическое оксидирование стали</t>
        </is>
      </c>
      <c r="C66" s="19" t="n">
        <v>50</v>
      </c>
      <c r="D66" s="17" t="n">
        <v>0</v>
      </c>
      <c r="E66" s="17" t="n"/>
    </row>
    <row r="67" ht="15" customHeight="1">
      <c r="A67" s="4" t="n">
        <v>23</v>
      </c>
      <c r="B67" s="4" t="inlineStr">
        <is>
          <t>фосфатирование</t>
        </is>
      </c>
      <c r="C67" s="19" t="n">
        <v>300</v>
      </c>
      <c r="D67" s="17" t="n">
        <v>0</v>
      </c>
      <c r="E67" s="17" t="n"/>
    </row>
    <row r="68" ht="15" customHeight="1">
      <c r="A68" s="4" t="n">
        <v>23</v>
      </c>
      <c r="B68" s="4" t="inlineStr">
        <is>
          <t>фосфатирование металла</t>
        </is>
      </c>
      <c r="C68" s="19" t="n">
        <v>150</v>
      </c>
      <c r="D68" s="17" t="n">
        <v>0</v>
      </c>
      <c r="E68" s="17" t="n"/>
    </row>
    <row r="69" ht="15" customHeight="1">
      <c r="A69" s="4" t="n">
        <v>23</v>
      </c>
      <c r="B69" s="4" t="inlineStr">
        <is>
          <t>химическое фосфатирование</t>
        </is>
      </c>
      <c r="C69" s="19" t="n">
        <v>40</v>
      </c>
      <c r="D69" s="17" t="n">
        <v>0</v>
      </c>
      <c r="E69" s="17" t="n"/>
    </row>
    <row r="70" ht="15" customHeight="1">
      <c r="A70" s="4" t="n">
        <v>12</v>
      </c>
      <c r="B70" s="4" t="inlineStr">
        <is>
          <t>анодирование титана</t>
        </is>
      </c>
      <c r="C70" s="19" t="n">
        <v>400</v>
      </c>
      <c r="D70" s="17" t="n">
        <v>0</v>
      </c>
      <c r="E70" s="17" t="n"/>
    </row>
    <row r="71" ht="15" customHeight="1">
      <c r="A71" s="4" t="n">
        <v>19</v>
      </c>
      <c r="B71" s="4" t="inlineStr">
        <is>
          <t>серебрение</t>
        </is>
      </c>
      <c r="C71" s="19" t="n">
        <v>150</v>
      </c>
      <c r="D71" s="17" t="n">
        <v>0</v>
      </c>
      <c r="E71" s="17" t="n"/>
    </row>
    <row r="72" ht="15" customHeight="1">
      <c r="A72" s="4" t="n">
        <v>19</v>
      </c>
      <c r="B72" s="4" t="inlineStr">
        <is>
          <t>гальваническое серебрение</t>
        </is>
      </c>
      <c r="C72" s="19" t="n">
        <v>150</v>
      </c>
      <c r="D72" s="17" t="n">
        <v>0</v>
      </c>
      <c r="E72" s="17" t="n"/>
    </row>
    <row r="73" ht="15" customHeight="1">
      <c r="A73" s="4" t="n">
        <v>19</v>
      </c>
      <c r="B73" s="4" t="inlineStr">
        <is>
          <t>серебрение металла</t>
        </is>
      </c>
      <c r="C73" s="19" t="n">
        <v>50</v>
      </c>
      <c r="D73" s="17" t="n">
        <v>0</v>
      </c>
      <c r="E73" s="17" t="n"/>
    </row>
    <row r="74" ht="15" customHeight="1">
      <c r="A74" s="4" t="n">
        <v>27</v>
      </c>
      <c r="B74" s="4" t="inlineStr">
        <is>
          <t>шлифовка металла</t>
        </is>
      </c>
      <c r="C74" s="19" t="n">
        <v>250</v>
      </c>
      <c r="D74" s="17" t="n">
        <v>0</v>
      </c>
      <c r="E74" s="17" t="n"/>
    </row>
    <row r="75" ht="15" customHeight="1">
      <c r="A75" s="4" t="n">
        <v>27</v>
      </c>
      <c r="B75" s="4" t="inlineStr">
        <is>
          <t>плоская шлифовка</t>
        </is>
      </c>
      <c r="C75" s="19" t="n">
        <v>30</v>
      </c>
      <c r="D75" s="17" t="n"/>
      <c r="E75" s="17" t="n"/>
    </row>
    <row r="76" ht="15" customHeight="1">
      <c r="A76" s="4" t="n">
        <v>27</v>
      </c>
      <c r="B76" s="4" t="inlineStr">
        <is>
          <t>плоское шлифование</t>
        </is>
      </c>
      <c r="C76" s="19" t="n">
        <v>20</v>
      </c>
      <c r="D76" s="17" t="n"/>
      <c r="E76" s="17" t="n"/>
    </row>
    <row r="77" ht="15" customHeight="1">
      <c r="A77" s="4" t="n">
        <v>27</v>
      </c>
      <c r="B77" s="4" t="inlineStr">
        <is>
          <t>шлифовка металла на заказ</t>
        </is>
      </c>
      <c r="C77" s="19" t="n">
        <v>0</v>
      </c>
      <c r="D77" s="17" t="n"/>
      <c r="E77" s="17" t="n"/>
    </row>
    <row r="78" ht="15" customHeight="1">
      <c r="A78" s="4" t="n">
        <v>16</v>
      </c>
      <c r="B78" s="4" t="inlineStr">
        <is>
          <t>лужение</t>
        </is>
      </c>
      <c r="C78" s="19" t="n">
        <v>200</v>
      </c>
      <c r="D78" s="17" t="n">
        <v>0</v>
      </c>
      <c r="E78" s="17" t="n"/>
    </row>
    <row r="79" ht="15" customHeight="1">
      <c r="A79" s="4" t="n">
        <v>16</v>
      </c>
      <c r="B79" s="4" t="inlineStr">
        <is>
          <t>оловянирование</t>
        </is>
      </c>
      <c r="C79" s="19" t="n">
        <v>40</v>
      </c>
      <c r="D79" s="17" t="n">
        <v>0</v>
      </c>
      <c r="E79" s="17" t="n"/>
    </row>
    <row r="80" ht="15" customHeight="1">
      <c r="A80" s="4" t="n">
        <v>16</v>
      </c>
      <c r="B80" s="4" t="inlineStr">
        <is>
          <t>лужение меди</t>
        </is>
      </c>
      <c r="C80" s="19" t="n">
        <v>40</v>
      </c>
      <c r="D80" s="17" t="n">
        <v>0</v>
      </c>
      <c r="E80" s="17" t="n"/>
    </row>
    <row r="81" ht="15" customHeight="1">
      <c r="A81" s="4" t="n">
        <v>16</v>
      </c>
      <c r="B81" s="4" t="inlineStr">
        <is>
          <t>гальваническое лужение</t>
        </is>
      </c>
      <c r="C81" s="19" t="n">
        <v>10</v>
      </c>
      <c r="D81" s="17" t="n"/>
      <c r="E81" s="17" t="n"/>
    </row>
    <row r="82" ht="15" customHeight="1">
      <c r="A82" s="4" t="n">
        <v>3</v>
      </c>
      <c r="B82" s="4" t="inlineStr">
        <is>
          <t>меднение</t>
        </is>
      </c>
      <c r="C82" s="19" t="n">
        <v>100</v>
      </c>
      <c r="D82" s="17" t="n">
        <v>0</v>
      </c>
      <c r="E82" s="17" t="n"/>
    </row>
    <row r="83" ht="15" customHeight="1">
      <c r="A83" s="4" t="n">
        <v>3</v>
      </c>
      <c r="B83" s="4" t="inlineStr">
        <is>
          <t>меднение металла</t>
        </is>
      </c>
      <c r="C83" s="19" t="n">
        <v>70</v>
      </c>
      <c r="D83" s="17" t="n">
        <v>0</v>
      </c>
      <c r="E83" s="17" t="n"/>
    </row>
    <row r="84" ht="15" customHeight="1">
      <c r="A84" s="4" t="n">
        <v>3</v>
      </c>
      <c r="B84" s="4" t="inlineStr">
        <is>
          <t>гальваническое меднение</t>
        </is>
      </c>
      <c r="C84" s="19" t="n">
        <v>60</v>
      </c>
      <c r="D84" s="17" t="n">
        <v>0</v>
      </c>
      <c r="E84" s="17" t="n"/>
    </row>
    <row r="85" ht="15" customHeight="1">
      <c r="A85" s="4" t="n">
        <v>3</v>
      </c>
      <c r="B85" s="4" t="inlineStr">
        <is>
          <t>меднение алюминия</t>
        </is>
      </c>
      <c r="C85" s="19" t="n">
        <v>40</v>
      </c>
      <c r="D85" s="17" t="n">
        <v>0</v>
      </c>
      <c r="E85" s="17" t="n"/>
    </row>
    <row r="86" ht="15" customHeight="1">
      <c r="A86" s="4" t="n">
        <v>20</v>
      </c>
      <c r="B86" s="4" t="inlineStr">
        <is>
          <t>гальваническое золочение</t>
        </is>
      </c>
      <c r="C86" s="19" t="n">
        <v>150</v>
      </c>
      <c r="D86" s="17" t="n">
        <v>0</v>
      </c>
      <c r="E86" s="17" t="n"/>
    </row>
    <row r="87" ht="15" customHeight="1">
      <c r="A87" s="4" t="n">
        <v>20</v>
      </c>
      <c r="B87" s="4" t="inlineStr">
        <is>
          <t>золочение</t>
        </is>
      </c>
      <c r="C87" s="19" t="n">
        <v>100</v>
      </c>
      <c r="D87" s="17" t="n">
        <v>0</v>
      </c>
      <c r="E87" s="17" t="n"/>
    </row>
    <row r="88" ht="15" customHeight="1">
      <c r="A88" s="4" t="n">
        <v>2</v>
      </c>
      <c r="B88" s="4" t="inlineStr">
        <is>
          <t>кадмирование</t>
        </is>
      </c>
      <c r="C88" s="19" t="n">
        <v>200</v>
      </c>
      <c r="D88" s="17" t="n">
        <v>0</v>
      </c>
      <c r="E88" s="17" t="n"/>
    </row>
    <row r="89" ht="15" customHeight="1">
      <c r="A89" s="4" t="n">
        <v>2</v>
      </c>
      <c r="B89" s="4" t="inlineStr">
        <is>
          <t>кадмирование деталей</t>
        </is>
      </c>
      <c r="C89" s="19" t="n">
        <v>30</v>
      </c>
      <c r="D89" s="17" t="n"/>
      <c r="E89" s="17" t="n"/>
    </row>
    <row r="90" ht="15" customHeight="1">
      <c r="A90" s="4" t="n">
        <v>15</v>
      </c>
      <c r="B90" s="4" t="inlineStr">
        <is>
          <t>хроматирование</t>
        </is>
      </c>
      <c r="C90" s="19" t="n">
        <v>80</v>
      </c>
      <c r="D90" s="17" t="n">
        <v>0</v>
      </c>
      <c r="E90" s="17" t="n"/>
    </row>
    <row r="91" ht="15" customHeight="1">
      <c r="A91" s="4" t="n">
        <v>15</v>
      </c>
      <c r="B91" s="4" t="inlineStr">
        <is>
          <t>химическое оксидирование алюминия</t>
        </is>
      </c>
      <c r="C91" s="19" t="n">
        <v>40</v>
      </c>
      <c r="D91" s="17" t="n">
        <v>0</v>
      </c>
      <c r="E91" s="17" t="n"/>
    </row>
    <row r="92" ht="15" customHeight="1">
      <c r="A92" s="4" t="n">
        <v>15</v>
      </c>
      <c r="B92" s="4" t="inlineStr">
        <is>
          <t>хроматирование алюминия</t>
        </is>
      </c>
      <c r="C92" s="19" t="n">
        <v>10</v>
      </c>
      <c r="D92" s="17" t="n"/>
      <c r="E92" s="17" t="n"/>
    </row>
    <row r="93" ht="15" customHeight="1">
      <c r="A93" s="4" t="n">
        <v>28</v>
      </c>
      <c r="B93" s="4" t="inlineStr">
        <is>
          <t>круглая шлифовка</t>
        </is>
      </c>
      <c r="C93" s="19" t="n">
        <v>60</v>
      </c>
      <c r="D93" s="17" t="n">
        <v>0</v>
      </c>
      <c r="E93" s="17" t="n"/>
    </row>
    <row r="94" ht="15" customHeight="1">
      <c r="A94" s="4" t="n">
        <v>28</v>
      </c>
      <c r="B94" s="4" t="inlineStr">
        <is>
          <t>круглое шлифование</t>
        </is>
      </c>
      <c r="C94" s="19" t="n">
        <v>40</v>
      </c>
      <c r="D94" s="17" t="n">
        <v>0</v>
      </c>
      <c r="E94" s="17" t="n"/>
    </row>
    <row r="95" ht="15" customHeight="1">
      <c r="A95" s="4" t="n">
        <v>28</v>
      </c>
      <c r="B95" s="4" t="inlineStr">
        <is>
          <t>круглошлифовальные работы</t>
        </is>
      </c>
      <c r="C95" s="19" t="n">
        <v>20</v>
      </c>
      <c r="D95" s="17" t="n"/>
      <c r="E95" s="17" t="n"/>
    </row>
    <row r="96" ht="15" customHeight="1">
      <c r="A96" s="4" t="n">
        <v>5</v>
      </c>
      <c r="B96" s="4" t="inlineStr">
        <is>
          <t>химическое никелирование</t>
        </is>
      </c>
      <c r="C96" s="19" t="n">
        <v>100</v>
      </c>
      <c r="D96" s="17" t="n">
        <v>0</v>
      </c>
      <c r="E96" s="17" t="n"/>
    </row>
    <row r="97" ht="15" customHeight="1">
      <c r="A97" s="4" t="n">
        <v>17</v>
      </c>
      <c r="B97" s="4" t="inlineStr">
        <is>
          <t>покрытие олово-висмут</t>
        </is>
      </c>
      <c r="C97" s="19" t="n">
        <v>40</v>
      </c>
      <c r="D97" s="17" t="n">
        <v>0</v>
      </c>
      <c r="E97" s="17" t="n"/>
    </row>
    <row r="98" ht="15" customHeight="1">
      <c r="A98" s="4" t="n">
        <v>17</v>
      </c>
      <c r="B98" s="4" t="inlineStr">
        <is>
          <t>олово висмут покрытие</t>
        </is>
      </c>
      <c r="C98" s="19" t="n">
        <v>40</v>
      </c>
      <c r="D98" s="17" t="n">
        <v>0</v>
      </c>
      <c r="E98" s="17" t="n"/>
    </row>
    <row r="99" ht="15" customHeight="1">
      <c r="A99" s="4" t="n">
        <v>11</v>
      </c>
      <c r="B99" s="4" t="inlineStr">
        <is>
          <t>твердое анодирование алюминия</t>
        </is>
      </c>
      <c r="C99" s="19" t="n">
        <v>40</v>
      </c>
      <c r="D99" s="17" t="n"/>
      <c r="E99" s="17" t="n"/>
    </row>
    <row r="100" ht="15" customHeight="1">
      <c r="A100" s="4" t="n">
        <v>11</v>
      </c>
      <c r="B100" s="4" t="inlineStr">
        <is>
          <t>твердое анодирование</t>
        </is>
      </c>
      <c r="C100" s="19" t="n">
        <v>20</v>
      </c>
      <c r="D100" s="17" t="n"/>
      <c r="E100" s="17" t="n"/>
    </row>
    <row r="101" ht="15" customHeight="1">
      <c r="A101" s="4" t="n">
        <v>13</v>
      </c>
      <c r="B101" s="4" t="inlineStr">
        <is>
          <t>эматалирование</t>
        </is>
      </c>
      <c r="C101" s="19" t="n">
        <v>10</v>
      </c>
      <c r="D101" s="17" t="n"/>
      <c r="E101" s="17" t="n"/>
    </row>
    <row r="102" ht="15" customHeight="1">
      <c r="A102" s="4" t="n">
        <v>7</v>
      </c>
      <c r="B102" s="4" t="inlineStr">
        <is>
          <t>электроплазменная полировка</t>
        </is>
      </c>
      <c r="C102" s="19" t="n">
        <v>0</v>
      </c>
      <c r="D102" s="17" t="n"/>
      <c r="E102" s="17" t="n"/>
    </row>
    <row r="103" ht="15" customHeight="1">
      <c r="A103" s="4" t="n">
        <v>7</v>
      </c>
      <c r="B103" s="4" t="inlineStr">
        <is>
          <t>плазменная полировка</t>
        </is>
      </c>
      <c r="C103" s="19" t="n">
        <v>0</v>
      </c>
      <c r="D103" s="17" t="n"/>
      <c r="E103" s="17" t="n"/>
    </row>
    <row r="104" ht="15" customHeight="1">
      <c r="A104" s="4" t="n">
        <v>22</v>
      </c>
      <c r="B104" s="4" t="inlineStr">
        <is>
          <t>кадмирование с фосфатированием</t>
        </is>
      </c>
      <c r="C104" s="19" t="n">
        <v>0</v>
      </c>
      <c r="D104" s="17" t="n"/>
      <c r="E104" s="17" t="n"/>
    </row>
    <row r="105" ht="15" customHeight="1">
      <c r="A105" s="4" t="n">
        <v>26</v>
      </c>
      <c r="B105" s="4" t="inlineStr">
        <is>
          <t>свинцевание</t>
        </is>
      </c>
      <c r="C105" s="19" t="n">
        <v>0</v>
      </c>
      <c r="D105" s="17" t="n"/>
      <c r="E105" s="17" t="n"/>
    </row>
    <row r="106" ht="15" customHeight="1">
      <c r="A106" s="4" t="inlineStr">
        <is>
          <t>Хаб (общий запрос, не в сумме)</t>
        </is>
      </c>
      <c r="B106" s="4" t="inlineStr">
        <is>
          <t>гальваника</t>
        </is>
      </c>
      <c r="C106" s="19" t="n">
        <v>2500</v>
      </c>
      <c r="D106" s="17" t="n">
        <v>1</v>
      </c>
      <c r="E106" s="17" t="n"/>
    </row>
    <row r="107" ht="15" customHeight="1">
      <c r="A107" s="4" t="inlineStr">
        <is>
          <t>Уже есть: /uslugi/polirovka/</t>
        </is>
      </c>
      <c r="B107" s="4" t="inlineStr">
        <is>
          <t>полировка металла</t>
        </is>
      </c>
      <c r="C107" s="19" t="n">
        <v>100</v>
      </c>
      <c r="D107" s="17" t="n">
        <v>0</v>
      </c>
      <c r="E107" s="17" t="n"/>
    </row>
    <row r="108" ht="15" customHeight="1">
      <c r="A108" s="4" t="inlineStr">
        <is>
          <t>Уже есть: /uslugi/shlifovanie/</t>
        </is>
      </c>
      <c r="B108" s="4" t="inlineStr">
        <is>
          <t>шлифовка нержавейки</t>
        </is>
      </c>
      <c r="C108" s="19" t="n">
        <v>70</v>
      </c>
      <c r="D108" s="17" t="n">
        <v>0</v>
      </c>
      <c r="E108" s="17" t="n">
        <v>65</v>
      </c>
    </row>
    <row r="109" ht="15" customHeight="1">
      <c r="A109" s="4" t="inlineStr">
        <is>
          <t>Уже есть: /uslugi/polirovka/</t>
        </is>
      </c>
      <c r="B109" s="4" t="inlineStr">
        <is>
          <t>полировка нержавейки</t>
        </is>
      </c>
      <c r="C109" s="19" t="n">
        <v>70</v>
      </c>
      <c r="D109" s="17" t="n">
        <v>0</v>
      </c>
      <c r="E109" s="17" t="n">
        <v>216</v>
      </c>
    </row>
  </sheetData>
  <autoFilter ref="A1:E1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2026-09-15T15:58:21Z</dcterms:created>
  <dcterms:modified xmlns:dcterms="http://purl.org/dc/terms/" xmlns:xsi="http://www.w3.org/2001/XMLSchema-instance" xsi:type="dcterms:W3CDTF">2026-09-15T15:58:21Z</dcterms:modified>
</cp:coreProperties>
</file>
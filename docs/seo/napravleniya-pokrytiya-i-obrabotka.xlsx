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аправления" sheetId="1" state="visible" r:id="rId1"/>
    <sheet xmlns:r="http://schemas.openxmlformats.org/officeDocument/2006/relationships" name="Запросы" sheetId="2" state="visible" r:id="rId2"/>
  </sheets>
  <definedNames>
    <definedName name="_xlnm._FilterDatabase" localSheetId="0" hidden="1">'Направления'!$A$1:$K$32</definedName>
    <definedName name="_xlnm._FilterDatabase" localSheetId="1" hidden="1">'Запросы'!$A$1:$E$109</definedName>
  </definedNames>
  <calcPr calcId="124519" fullCalcOnLoad="1"/>
</workbook>
</file>

<file path=xl/styles.xml><?xml version="1.0" encoding="utf-8"?>
<styleSheet xmlns="http://schemas.openxmlformats.org/spreadsheetml/2006/main">
  <numFmts count="1">
    <numFmt numFmtId="164" formatCode="#,##0;-#,##0;&quot;—&quot;"/>
  </numFmts>
  <fonts count="5">
    <font>
      <name val="Calibri"/>
      <family val="2"/>
      <color theme="1"/>
      <sz val="11"/>
      <scheme val="minor"/>
    </font>
    <font>
      <name val="Arial"/>
      <b val="1"/>
      <color rgb="00FFFFFF"/>
      <sz val="10"/>
    </font>
    <font>
      <name val="Arial"/>
      <sz val="10"/>
    </font>
    <font>
      <name val="Arial"/>
      <b val="1"/>
      <sz val="10"/>
    </font>
    <font>
      <name val="Arial"/>
      <i val="1"/>
      <color rgb="00595959"/>
      <sz val="9"/>
    </font>
  </fonts>
  <fills count="7">
    <fill>
      <patternFill/>
    </fill>
    <fill>
      <patternFill patternType="gray125"/>
    </fill>
    <fill>
      <patternFill patternType="solid">
        <fgColor rgb="00163B66"/>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4" borderId="1" applyAlignment="1" pivotButton="0" quotePrefix="0" xfId="0">
      <alignment horizontal="center" vertical="top"/>
    </xf>
    <xf numFmtId="164" fontId="3" fillId="0" borderId="1" applyAlignment="1" pivotButton="0" quotePrefix="0" xfId="0">
      <alignment horizontal="right" vertical="top"/>
    </xf>
    <xf numFmtId="0" fontId="2" fillId="5" borderId="1" applyAlignment="1" pivotButton="0" quotePrefix="0" xfId="0">
      <alignment horizontal="center" vertical="top"/>
    </xf>
    <xf numFmtId="0" fontId="3" fillId="4" borderId="1" applyAlignment="1" pivotButton="0" quotePrefix="0" xfId="0">
      <alignment horizontal="center" vertical="top"/>
    </xf>
    <xf numFmtId="0" fontId="3" fillId="6" borderId="1" applyAlignment="1" pivotButton="0" quotePrefix="0" xfId="0">
      <alignment horizontal="center" vertical="top"/>
    </xf>
    <xf numFmtId="0" fontId="3" fillId="0" borderId="0" pivotButton="0" quotePrefix="0" xfId="0"/>
    <xf numFmtId="0" fontId="3" fillId="0" borderId="0" applyAlignment="1" pivotButton="0" quotePrefix="0" xfId="0">
      <alignment horizontal="left"/>
    </xf>
    <xf numFmtId="0" fontId="4" fillId="0" borderId="0" pivotButton="0" quotePrefix="0" xfId="0"/>
    <xf numFmtId="3" fontId="2" fillId="0" borderId="1" applyAlignment="1" pivotButton="0" quotePrefix="0" xfId="0">
      <alignment horizontal="right" vertical="top"/>
    </xf>
    <xf numFmtId="0"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34" customWidth="1" min="3" max="3"/>
    <col width="11" customWidth="1" min="4" max="4"/>
    <col width="24" customWidth="1" min="5" max="5"/>
    <col width="24" customWidth="1" min="6" max="6"/>
    <col width="38" customWidth="1" min="7" max="7"/>
    <col width="30" customWidth="1" min="8" max="8"/>
    <col width="11" customWidth="1" min="9" max="9"/>
    <col width="60" customWidth="1" min="10" max="10"/>
    <col width="38" customWidth="1" min="11" max="11"/>
  </cols>
  <sheetData>
    <row r="1" ht="32" customHeight="1">
      <c r="A1" s="1" t="inlineStr">
        <is>
          <t>Приоритет</t>
        </is>
      </c>
      <c r="B1" s="1" t="inlineStr">
        <is>
          <t>№ у клиента</t>
        </is>
      </c>
      <c r="C1" s="1" t="inlineStr">
        <is>
          <t>Направление</t>
        </is>
      </c>
      <c r="D1" s="1" t="inlineStr">
        <is>
          <t>На сайте</t>
        </is>
      </c>
      <c r="E1" s="1" t="inlineStr">
        <is>
          <t>Существующая страница</t>
        </is>
      </c>
      <c r="F1" s="1" t="inlineStr">
        <is>
          <t>Что сделать</t>
        </is>
      </c>
      <c r="G1" s="1" t="inlineStr">
        <is>
          <t>Страница (URL)</t>
        </is>
      </c>
      <c r="H1" s="1" t="inlineStr">
        <is>
          <t>Главный запрос (объём)</t>
        </is>
      </c>
      <c r="I1" s="1" t="inlineStr">
        <is>
          <t>Спрос группы, мес.</t>
        </is>
      </c>
      <c r="J1" s="1" t="inlineStr">
        <is>
          <t>Все запросы и объёмы</t>
        </is>
      </c>
      <c r="K1" s="1" t="inlineStr">
        <is>
          <t>Комментарий</t>
        </is>
      </c>
    </row>
    <row r="2" ht="54" customHeight="1">
      <c r="A2" s="2" t="inlineStr">
        <is>
          <t>P1</t>
        </is>
      </c>
      <c r="B2" s="3" t="n">
        <v>29</v>
      </c>
      <c r="C2" s="4" t="inlineStr">
        <is>
          <t>Лазерная резка</t>
        </is>
      </c>
      <c r="D2" s="5" t="inlineStr">
        <is>
          <t>Частично</t>
        </is>
      </c>
      <c r="E2" s="4" t="inlineStr">
        <is>
          <t>/uslugi/perforaciya-listov/</t>
        </is>
      </c>
      <c r="F2" s="4" t="inlineStr">
        <is>
          <t>Новая страница</t>
        </is>
      </c>
      <c r="G2" s="4" t="inlineStr">
        <is>
          <t>/uslugi/lazernaya-rezka/</t>
        </is>
      </c>
      <c r="H2" s="4" t="inlineStr">
        <is>
          <t>лазерная резка металла — 1000</t>
        </is>
      </c>
      <c r="I2" s="6">
        <f>SUMIFS(Запросы!$C$2:$C$109,Запросы!$A$2:$A$109,B2)</f>
        <v/>
      </c>
      <c r="J2" s="4" t="inlineStr">
        <is>
          <t>лазерная резка металла 1000, лазерная резка 600, лазерная резка нержавейки 500, лазерная резка нержавеющей стали 300, резка нержавейки лазером 200, лазерная резка металла нижний новгород 50, лазерная резка нижний новгород 40, лазерная резка нержавейки нижний новгород 0</t>
        </is>
      </c>
      <c r="K2" s="4" t="inlineStr">
        <is>
          <t>Старые адреса /laser/ и /lasertrub/ перенаправить сюда</t>
        </is>
      </c>
    </row>
    <row r="3" ht="40.5" customHeight="1">
      <c r="A3" s="2" t="inlineStr">
        <is>
          <t>P1</t>
        </is>
      </c>
      <c r="B3" s="3" t="n">
        <v>10</v>
      </c>
      <c r="C3" s="4" t="inlineStr">
        <is>
          <t>Анодирование алюминия (бцв, ч, нхр, нв)</t>
        </is>
      </c>
      <c r="D3" s="7" t="inlineStr">
        <is>
          <t>Нет</t>
        </is>
      </c>
      <c r="E3" s="4" t="inlineStr">
        <is>
          <t>—</t>
        </is>
      </c>
      <c r="F3" s="4" t="inlineStr">
        <is>
          <t>Новая страница</t>
        </is>
      </c>
      <c r="G3" s="4" t="inlineStr">
        <is>
          <t>/uslugi/galvanicheskie-pokrytiya/anodirovanie/</t>
        </is>
      </c>
      <c r="H3" s="4" t="inlineStr">
        <is>
          <t>анодирование — 900</t>
        </is>
      </c>
      <c r="I3" s="6">
        <f>SUMIFS(Запросы!$C$2:$C$109,Запросы!$A$2:$A$109,B3)</f>
        <v/>
      </c>
      <c r="J3" s="4" t="inlineStr">
        <is>
          <t>анодирование 900, анодирование алюминия 600, анодное оксидирование 80, анодирование алюминия цена 70, цветное анодирование алюминия 30, анодирование нижний новгород 0</t>
        </is>
      </c>
      <c r="K3" s="4" t="inlineStr">
        <is>
          <t>Разделами на этой странице: № 11, 13, 14, 15</t>
        </is>
      </c>
    </row>
    <row r="4" ht="54" customHeight="1">
      <c r="A4" s="2" t="inlineStr">
        <is>
          <t>P1</t>
        </is>
      </c>
      <c r="B4" s="3" t="n">
        <v>1</v>
      </c>
      <c r="C4" s="4" t="inlineStr">
        <is>
          <t>Цинкование (бцв, хр, чёрное — П.бцв, П.хр, П.ч)</t>
        </is>
      </c>
      <c r="D4" s="7" t="inlineStr">
        <is>
          <t>Нет</t>
        </is>
      </c>
      <c r="E4" s="4" t="inlineStr">
        <is>
          <t>—</t>
        </is>
      </c>
      <c r="F4" s="4" t="inlineStr">
        <is>
          <t>Новая страница</t>
        </is>
      </c>
      <c r="G4" s="4" t="inlineStr">
        <is>
          <t>/uslugi/galvanicheskie-pokrytiya/cinkovanie/</t>
        </is>
      </c>
      <c r="H4" s="4" t="inlineStr">
        <is>
          <t>цинкование — 400</t>
        </is>
      </c>
      <c r="I4" s="6">
        <f>SUMIFS(Запросы!$C$2:$C$109,Запросы!$A$2:$A$109,B4)</f>
        <v/>
      </c>
      <c r="J4" s="4" t="inlineStr">
        <is>
          <t>цинкование 400, цинкование металла 300, гальваническое цинкование 150, цинкование деталей 50, черное цинкование 30, цинкование с хроматированием 20, оцинковка деталей 20, цинкование цена 20, желтое цинкование 10, цинкование крепежа 10, цинкование нижний новгород 0</t>
        </is>
      </c>
      <c r="K4" s="4" t="inlineStr">
        <is>
          <t>В тексте развести с горячим цинкованием</t>
        </is>
      </c>
    </row>
    <row r="5" ht="27" customHeight="1">
      <c r="A5" s="2" t="inlineStr">
        <is>
          <t>P1</t>
        </is>
      </c>
      <c r="B5" s="3" t="n">
        <v>25</v>
      </c>
      <c r="C5" s="4" t="inlineStr">
        <is>
          <t>Пассивация</t>
        </is>
      </c>
      <c r="D5" s="7" t="inlineStr">
        <is>
          <t>Нет</t>
        </is>
      </c>
      <c r="E5" s="4" t="inlineStr">
        <is>
          <t>только упоминание в блоге</t>
        </is>
      </c>
      <c r="F5" s="4" t="inlineStr">
        <is>
          <t>Новая страница (вместе с № 8)</t>
        </is>
      </c>
      <c r="G5" s="4" t="inlineStr">
        <is>
          <t>/uslugi/travlenie-i-passivaciya/</t>
        </is>
      </c>
      <c r="H5" s="4" t="inlineStr">
        <is>
          <t>пассивация — 300</t>
        </is>
      </c>
      <c r="I5" s="6">
        <f>SUMIFS(Запросы!$C$2:$C$109,Запросы!$A$2:$A$109,B5)</f>
        <v/>
      </c>
      <c r="J5" s="4" t="inlineStr">
        <is>
          <t>пассивация 300, пассивация металла 150, пассивация нержавейки 150, пассивация нержавеющей стали 80</t>
        </is>
      </c>
      <c r="K5" s="4" t="inlineStr">
        <is>
          <t>Вместе с № 8 спрос около 900. Профильно для нержавейки</t>
        </is>
      </c>
    </row>
    <row r="6" ht="27" customHeight="1">
      <c r="A6" s="2" t="inlineStr">
        <is>
          <t>P1</t>
        </is>
      </c>
      <c r="B6" s="3" t="n">
        <v>8</v>
      </c>
      <c r="C6" s="4" t="inlineStr">
        <is>
          <t>Хим. пас (травление нержавейки)</t>
        </is>
      </c>
      <c r="D6" s="7" t="inlineStr">
        <is>
          <t>Нет</t>
        </is>
      </c>
      <c r="E6" s="4" t="inlineStr">
        <is>
          <t>—</t>
        </is>
      </c>
      <c r="F6" s="4" t="inlineStr">
        <is>
          <t>Та же страница, что № 25</t>
        </is>
      </c>
      <c r="G6" s="4" t="inlineStr">
        <is>
          <t>/uslugi/travlenie-i-passivaciya/</t>
        </is>
      </c>
      <c r="H6" s="4" t="inlineStr">
        <is>
          <t>травление металла — 150</t>
        </is>
      </c>
      <c r="I6" s="6">
        <f>SUMIFS(Запросы!$C$2:$C$109,Запросы!$A$2:$A$109,B6)</f>
        <v/>
      </c>
      <c r="J6" s="4" t="inlineStr">
        <is>
          <t>травление металла 150, травление нержавеющей стали 40, травление нержавейки 30, травление сварных швов 0, травление и пассивация 0</t>
        </is>
      </c>
      <c r="K6" s="4" t="inlineStr"/>
    </row>
    <row r="7" ht="27" customHeight="1">
      <c r="A7" s="2" t="inlineStr">
        <is>
          <t>P1</t>
        </is>
      </c>
      <c r="B7" s="3" t="n">
        <v>30</v>
      </c>
      <c r="C7" s="4" t="inlineStr">
        <is>
          <t>Гидроабразивная резка</t>
        </is>
      </c>
      <c r="D7" s="5" t="inlineStr">
        <is>
          <t>Частично</t>
        </is>
      </c>
      <c r="E7" s="4" t="inlineStr">
        <is>
          <t>/uslugi/perforaciya-listov/</t>
        </is>
      </c>
      <c r="F7" s="4" t="inlineStr">
        <is>
          <t>Новая страница</t>
        </is>
      </c>
      <c r="G7" s="4" t="inlineStr">
        <is>
          <t>/uslugi/gidroabrazivnaya-rezka/</t>
        </is>
      </c>
      <c r="H7" s="4" t="inlineStr">
        <is>
          <t>гидроабразивная резка — 350</t>
        </is>
      </c>
      <c r="I7" s="6">
        <f>SUMIFS(Запросы!$C$2:$C$109,Запросы!$A$2:$A$109,B7)</f>
        <v/>
      </c>
      <c r="J7" s="4" t="inlineStr">
        <is>
          <t>гидроабразивная резка 350, гидроабразивная резка металла 300, гидрорезка 200, гидроабразивная резка нижний новгород 20</t>
        </is>
      </c>
      <c r="K7" s="4" t="inlineStr">
        <is>
          <t>Старый адрес /gidroabraziv/ перенаправить сюда</t>
        </is>
      </c>
    </row>
    <row r="8" ht="40.5" customHeight="1">
      <c r="A8" s="2" t="inlineStr">
        <is>
          <t>P1</t>
        </is>
      </c>
      <c r="B8" s="3" t="inlineStr">
        <is>
          <t>Хаб</t>
        </is>
      </c>
      <c r="C8" s="4" t="inlineStr">
        <is>
          <t>Хаб «Гальванические покрытия»</t>
        </is>
      </c>
      <c r="D8" s="7" t="inlineStr">
        <is>
          <t>Нет</t>
        </is>
      </c>
      <c r="E8" s="4" t="inlineStr">
        <is>
          <t>—</t>
        </is>
      </c>
      <c r="F8" s="4" t="inlineStr">
        <is>
          <t>Новая страница (хаб)</t>
        </is>
      </c>
      <c r="G8" s="4" t="inlineStr">
        <is>
          <t>/uslugi/galvanicheskie-pokrytiya/</t>
        </is>
      </c>
      <c r="H8" s="4" t="inlineStr">
        <is>
          <t>гальванические покрытия — 150</t>
        </is>
      </c>
      <c r="I8" s="6">
        <f>SUMIFS(Запросы!$C$2:$C$109,Запросы!$A$2:$A$109,B8)</f>
        <v/>
      </c>
      <c r="J8" s="4" t="inlineStr">
        <is>
          <t>гальванические покрытия 150, гальваническое покрытие металла 90, нанесение гальванических покрытий 80, услуги гальваники 40, гальваника на заказ 20, гальваника нижний новгород 0</t>
        </is>
      </c>
      <c r="K8" s="4" t="inlineStr">
        <is>
          <t>Ссылки на все покрытия. Общий запрос «гальваника» (2500) в сумму не включён</t>
        </is>
      </c>
    </row>
    <row r="9" ht="40.5" customHeight="1">
      <c r="A9" s="2" t="inlineStr">
        <is>
          <t>P1</t>
        </is>
      </c>
      <c r="B9" s="3" t="n">
        <v>18</v>
      </c>
      <c r="C9" s="4" t="inlineStr">
        <is>
          <t>Хромирование твёрдое</t>
        </is>
      </c>
      <c r="D9" s="7" t="inlineStr">
        <is>
          <t>Нет</t>
        </is>
      </c>
      <c r="E9" s="4" t="inlineStr">
        <is>
          <t>—</t>
        </is>
      </c>
      <c r="F9" s="4" t="inlineStr">
        <is>
          <t>Новая страница</t>
        </is>
      </c>
      <c r="G9" s="4" t="inlineStr">
        <is>
          <t>/uslugi/galvanicheskie-pokrytiya/hromirovanie/</t>
        </is>
      </c>
      <c r="H9" s="4" t="inlineStr">
        <is>
          <t>хромирование деталей — 250</t>
        </is>
      </c>
      <c r="I9" s="6">
        <f>SUMIFS(Запросы!$C$2:$C$109,Запросы!$A$2:$A$109,B9)</f>
        <v/>
      </c>
      <c r="J9" s="4" t="inlineStr">
        <is>
          <t>хромирование 250, хромирование деталей 250, гальваническое хромирование 80, твердое хромирование 20, хромирование штоков 0, хромирование нижний новгород 0</t>
        </is>
      </c>
      <c r="K9" s="4" t="inlineStr">
        <is>
          <t>«хромирование штоков» проверить в Wordstat</t>
        </is>
      </c>
    </row>
    <row r="10" ht="27" customHeight="1">
      <c r="A10" s="2" t="inlineStr">
        <is>
          <t>P1</t>
        </is>
      </c>
      <c r="B10" s="3" t="n">
        <v>4</v>
      </c>
      <c r="C10" s="4" t="inlineStr">
        <is>
          <t>Гальваническое никелирование (блестящее)</t>
        </is>
      </c>
      <c r="D10" s="7" t="inlineStr">
        <is>
          <t>Нет</t>
        </is>
      </c>
      <c r="E10" s="4" t="inlineStr">
        <is>
          <t>—</t>
        </is>
      </c>
      <c r="F10" s="4" t="inlineStr">
        <is>
          <t>Новая страница</t>
        </is>
      </c>
      <c r="G10" s="4" t="inlineStr">
        <is>
          <t>/uslugi/galvanicheskie-pokrytiya/nikelirovanie/</t>
        </is>
      </c>
      <c r="H10" s="4" t="inlineStr">
        <is>
          <t>никелирование — 350</t>
        </is>
      </c>
      <c r="I10" s="6">
        <f>SUMIFS(Запросы!$C$2:$C$109,Запросы!$A$2:$A$109,B10)</f>
        <v/>
      </c>
      <c r="J10" s="4" t="inlineStr">
        <is>
          <t>никелирование 350, гальваническое никелирование 60, никелирование металла 50, никелирование деталей 50, блестящее никелирование 0</t>
        </is>
      </c>
      <c r="K10" s="4" t="inlineStr">
        <is>
          <t>Разделом на этой странице: № 5</t>
        </is>
      </c>
    </row>
    <row r="11" ht="40.5" customHeight="1">
      <c r="A11" s="2" t="inlineStr">
        <is>
          <t>P1</t>
        </is>
      </c>
      <c r="B11" s="3" t="n">
        <v>6</v>
      </c>
      <c r="C11" s="4" t="inlineStr">
        <is>
          <t>Электрохимическое полирование (нерж.)</t>
        </is>
      </c>
      <c r="D11" s="5" t="inlineStr">
        <is>
          <t>Частично</t>
        </is>
      </c>
      <c r="E11" s="4" t="inlineStr">
        <is>
          <t>/uslugi/polirovka/</t>
        </is>
      </c>
      <c r="F11" s="4" t="inlineStr">
        <is>
          <t>Новая страница</t>
        </is>
      </c>
      <c r="G11" s="4" t="inlineStr">
        <is>
          <t>/uslugi/elektrohimicheskaya-polirovka/</t>
        </is>
      </c>
      <c r="H11" s="4" t="inlineStr">
        <is>
          <t>электрополировка — 90</t>
        </is>
      </c>
      <c r="I11" s="6">
        <f>SUMIFS(Запросы!$C$2:$C$109,Запросы!$A$2:$A$109,B11)</f>
        <v/>
      </c>
      <c r="J11" s="4" t="inlineStr">
        <is>
          <t>электрополировка 90, электрохимическая полировка 80, электрохимическая полировка нержавейки 30, электрополировка нержавеющей стали 30, электрополировка нержавейки 10</t>
        </is>
      </c>
      <c r="K11" s="4" t="inlineStr">
        <is>
          <t>Спрос средний, но профильно для нержавейки. Разделом: № 7</t>
        </is>
      </c>
    </row>
    <row r="12" ht="27" customHeight="1">
      <c r="A12" s="8" t="inlineStr">
        <is>
          <t>P2</t>
        </is>
      </c>
      <c r="B12" s="3" t="n">
        <v>9</v>
      </c>
      <c r="C12" s="4" t="inlineStr">
        <is>
          <t>Хим. оксидирование стали с промасливанием</t>
        </is>
      </c>
      <c r="D12" s="7" t="inlineStr">
        <is>
          <t>Нет</t>
        </is>
      </c>
      <c r="E12" s="4" t="inlineStr">
        <is>
          <t>—</t>
        </is>
      </c>
      <c r="F12" s="4" t="inlineStr">
        <is>
          <t>Новая страница</t>
        </is>
      </c>
      <c r="G12" s="4" t="inlineStr">
        <is>
          <t>/uslugi/galvanicheskie-pokrytiya/oksidirovanie-stali/</t>
        </is>
      </c>
      <c r="H12" s="4" t="inlineStr">
        <is>
          <t>воронение металла — 350</t>
        </is>
      </c>
      <c r="I12" s="6">
        <f>SUMIFS(Запросы!$C$2:$C$109,Запросы!$A$2:$A$109,B12)</f>
        <v/>
      </c>
      <c r="J12" s="4" t="inlineStr">
        <is>
          <t>воронение металла 350, оксидирование 250, оксидирование стали 150, химическое оксидирование 100, химическое оксидирование стали 50</t>
        </is>
      </c>
      <c r="K12" s="4" t="inlineStr">
        <is>
          <t>Много бытовых запросов про воронение</t>
        </is>
      </c>
    </row>
    <row r="13" ht="27" customHeight="1">
      <c r="A13" s="8" t="inlineStr">
        <is>
          <t>P2</t>
        </is>
      </c>
      <c r="B13" s="3" t="n">
        <v>23</v>
      </c>
      <c r="C13" s="4" t="inlineStr">
        <is>
          <t>Хим. фосфатирование с оксидированием</t>
        </is>
      </c>
      <c r="D13" s="7" t="inlineStr">
        <is>
          <t>Нет</t>
        </is>
      </c>
      <c r="E13" s="4" t="inlineStr">
        <is>
          <t>—</t>
        </is>
      </c>
      <c r="F13" s="4" t="inlineStr">
        <is>
          <t>Новая страница</t>
        </is>
      </c>
      <c r="G13" s="4" t="inlineStr">
        <is>
          <t>/uslugi/galvanicheskie-pokrytiya/fosfatirovanie/</t>
        </is>
      </c>
      <c r="H13" s="4" t="inlineStr">
        <is>
          <t>фосфатирование — 300</t>
        </is>
      </c>
      <c r="I13" s="6">
        <f>SUMIFS(Запросы!$C$2:$C$109,Запросы!$A$2:$A$109,B13)</f>
        <v/>
      </c>
      <c r="J13" s="4" t="inlineStr">
        <is>
          <t>фосфатирование 300, фосфатирование металла 150, химическое фосфатирование 40</t>
        </is>
      </c>
      <c r="K13" s="4" t="inlineStr"/>
    </row>
    <row r="14" ht="27" customHeight="1">
      <c r="A14" s="8" t="inlineStr">
        <is>
          <t>P2</t>
        </is>
      </c>
      <c r="B14" s="3" t="n">
        <v>12</v>
      </c>
      <c r="C14" s="4" t="inlineStr">
        <is>
          <t>Анодирование титана (аноцвет)</t>
        </is>
      </c>
      <c r="D14" s="7" t="inlineStr">
        <is>
          <t>Нет</t>
        </is>
      </c>
      <c r="E14" s="4" t="inlineStr">
        <is>
          <t>—</t>
        </is>
      </c>
      <c r="F14" s="4" t="inlineStr">
        <is>
          <t>Новая страница</t>
        </is>
      </c>
      <c r="G14" s="4" t="inlineStr">
        <is>
          <t>/uslugi/galvanicheskie-pokrytiya/anodirovanie-titana/</t>
        </is>
      </c>
      <c r="H14" s="4" t="inlineStr">
        <is>
          <t>анодирование титана — 400</t>
        </is>
      </c>
      <c r="I14" s="6">
        <f>SUMIFS(Запросы!$C$2:$C$109,Запросы!$A$2:$A$109,B14)</f>
        <v/>
      </c>
      <c r="J14" s="4" t="inlineStr">
        <is>
          <t>анодирование титана 400</t>
        </is>
      </c>
      <c r="K14" s="4" t="inlineStr"/>
    </row>
    <row r="15" ht="27" customHeight="1">
      <c r="A15" s="8" t="inlineStr">
        <is>
          <t>P2</t>
        </is>
      </c>
      <c r="B15" s="3" t="n">
        <v>19</v>
      </c>
      <c r="C15" s="4" t="inlineStr">
        <is>
          <t>Серебрение</t>
        </is>
      </c>
      <c r="D15" s="7" t="inlineStr">
        <is>
          <t>Нет</t>
        </is>
      </c>
      <c r="E15" s="4" t="inlineStr">
        <is>
          <t>—</t>
        </is>
      </c>
      <c r="F15" s="4" t="inlineStr">
        <is>
          <t>Новая страница</t>
        </is>
      </c>
      <c r="G15" s="4" t="inlineStr">
        <is>
          <t>/uslugi/galvanicheskie-pokrytiya/serebrenie/</t>
        </is>
      </c>
      <c r="H15" s="4" t="inlineStr">
        <is>
          <t>серебрение — 150</t>
        </is>
      </c>
      <c r="I15" s="6">
        <f>SUMIFS(Запросы!$C$2:$C$109,Запросы!$A$2:$A$109,B15)</f>
        <v/>
      </c>
      <c r="J15" s="4" t="inlineStr">
        <is>
          <t>серебрение 150, гальваническое серебрение 150, серебрение металла 50</t>
        </is>
      </c>
      <c r="K15" s="4" t="inlineStr"/>
    </row>
    <row r="16" ht="40.5" customHeight="1">
      <c r="A16" s="8" t="inlineStr">
        <is>
          <t>P2</t>
        </is>
      </c>
      <c r="B16" s="3" t="n">
        <v>27</v>
      </c>
      <c r="C16" s="4" t="inlineStr">
        <is>
          <t>Шлифовка продольная</t>
        </is>
      </c>
      <c r="D16" s="5" t="inlineStr">
        <is>
          <t>Возможно</t>
        </is>
      </c>
      <c r="E16" s="4" t="inlineStr">
        <is>
          <t>/uslugi/shlifovanie/</t>
        </is>
      </c>
      <c r="F16" s="4" t="inlineStr">
        <is>
          <t>Уточнить у клиента</t>
        </is>
      </c>
      <c r="G16" s="4" t="inlineStr">
        <is>
          <t>—</t>
        </is>
      </c>
      <c r="H16" s="4" t="inlineStr">
        <is>
          <t>шлифовка металла — 250</t>
        </is>
      </c>
      <c r="I16" s="6">
        <f>SUMIFS(Запросы!$C$2:$C$109,Запросы!$A$2:$A$109,B16)</f>
        <v/>
      </c>
      <c r="J16" s="4" t="inlineStr">
        <is>
          <t>шлифовка металла 250, плоская шлифовка 30, плоское шлифование 20, шлифовка металла на заказ 0</t>
        </is>
      </c>
      <c r="K16" s="4" t="inlineStr">
        <is>
          <t>Если это шлифовка листа — страница уже есть («шлифовка нержавейки»: Ahrefs 70, Wordstat 65)</t>
        </is>
      </c>
    </row>
    <row r="17" ht="27" customHeight="1">
      <c r="A17" s="8" t="inlineStr">
        <is>
          <t>P2</t>
        </is>
      </c>
      <c r="B17" s="3" t="n">
        <v>16</v>
      </c>
      <c r="C17" s="4" t="inlineStr">
        <is>
          <t>Оловянирование</t>
        </is>
      </c>
      <c r="D17" s="7" t="inlineStr">
        <is>
          <t>Нет</t>
        </is>
      </c>
      <c r="E17" s="4" t="inlineStr">
        <is>
          <t>—</t>
        </is>
      </c>
      <c r="F17" s="4" t="inlineStr">
        <is>
          <t>Новая страница</t>
        </is>
      </c>
      <c r="G17" s="4" t="inlineStr">
        <is>
          <t>/uslugi/galvanicheskie-pokrytiya/olovyanirovanie/</t>
        </is>
      </c>
      <c r="H17" s="4" t="inlineStr">
        <is>
          <t>лужение — 200</t>
        </is>
      </c>
      <c r="I17" s="6">
        <f>SUMIFS(Запросы!$C$2:$C$109,Запросы!$A$2:$A$109,B17)</f>
        <v/>
      </c>
      <c r="J17" s="4" t="inlineStr">
        <is>
          <t>лужение 200, оловянирование 40, лужение меди 40, гальваническое лужение 10</t>
        </is>
      </c>
      <c r="K17" s="4" t="inlineStr">
        <is>
          <t>Разделом на этой странице: № 17</t>
        </is>
      </c>
    </row>
    <row r="18" ht="27" customHeight="1">
      <c r="A18" s="8" t="inlineStr">
        <is>
          <t>P2</t>
        </is>
      </c>
      <c r="B18" s="3" t="n">
        <v>3</v>
      </c>
      <c r="C18" s="4" t="inlineStr">
        <is>
          <t>Меднение</t>
        </is>
      </c>
      <c r="D18" s="7" t="inlineStr">
        <is>
          <t>Нет</t>
        </is>
      </c>
      <c r="E18" s="4" t="inlineStr">
        <is>
          <t>—</t>
        </is>
      </c>
      <c r="F18" s="4" t="inlineStr">
        <is>
          <t>Новая страница</t>
        </is>
      </c>
      <c r="G18" s="4" t="inlineStr">
        <is>
          <t>/uslugi/galvanicheskie-pokrytiya/mednenie/</t>
        </is>
      </c>
      <c r="H18" s="4" t="inlineStr">
        <is>
          <t>меднение — 100</t>
        </is>
      </c>
      <c r="I18" s="6">
        <f>SUMIFS(Запросы!$C$2:$C$109,Запросы!$A$2:$A$109,B18)</f>
        <v/>
      </c>
      <c r="J18" s="4" t="inlineStr">
        <is>
          <t>меднение 100, меднение металла 70, гальваническое меднение 60, меднение алюминия 40</t>
        </is>
      </c>
      <c r="K18" s="4" t="inlineStr"/>
    </row>
    <row r="19" ht="27" customHeight="1">
      <c r="A19" s="8" t="inlineStr">
        <is>
          <t>P2</t>
        </is>
      </c>
      <c r="B19" s="3" t="n">
        <v>20</v>
      </c>
      <c r="C19" s="4" t="inlineStr">
        <is>
          <t>Золочение</t>
        </is>
      </c>
      <c r="D19" s="7" t="inlineStr">
        <is>
          <t>Нет</t>
        </is>
      </c>
      <c r="E19" s="4" t="inlineStr">
        <is>
          <t>—</t>
        </is>
      </c>
      <c r="F19" s="4" t="inlineStr">
        <is>
          <t>Новая страница</t>
        </is>
      </c>
      <c r="G19" s="4" t="inlineStr">
        <is>
          <t>/uslugi/galvanicheskie-pokrytiya/zolochenie/</t>
        </is>
      </c>
      <c r="H19" s="4" t="inlineStr">
        <is>
          <t>гальваническое золочение — 150</t>
        </is>
      </c>
      <c r="I19" s="6">
        <f>SUMIFS(Запросы!$C$2:$C$109,Запросы!$A$2:$A$109,B19)</f>
        <v/>
      </c>
      <c r="J19" s="4" t="inlineStr">
        <is>
          <t>гальваническое золочение 150, золочение 100</t>
        </is>
      </c>
      <c r="K19" s="4" t="inlineStr"/>
    </row>
    <row r="20" ht="27" customHeight="1">
      <c r="A20" s="8" t="inlineStr">
        <is>
          <t>P2</t>
        </is>
      </c>
      <c r="B20" s="3" t="n">
        <v>2</v>
      </c>
      <c r="C20" s="4" t="inlineStr">
        <is>
          <t>Кадмирование (бцв, хр)</t>
        </is>
      </c>
      <c r="D20" s="7" t="inlineStr">
        <is>
          <t>Нет</t>
        </is>
      </c>
      <c r="E20" s="4" t="inlineStr">
        <is>
          <t>—</t>
        </is>
      </c>
      <c r="F20" s="4" t="inlineStr">
        <is>
          <t>Новая страница</t>
        </is>
      </c>
      <c r="G20" s="4" t="inlineStr">
        <is>
          <t>/uslugi/galvanicheskie-pokrytiya/kadmirovanie/</t>
        </is>
      </c>
      <c r="H20" s="4" t="inlineStr">
        <is>
          <t>кадмирование — 200</t>
        </is>
      </c>
      <c r="I20" s="6">
        <f>SUMIFS(Запросы!$C$2:$C$109,Запросы!$A$2:$A$109,B20)</f>
        <v/>
      </c>
      <c r="J20" s="4" t="inlineStr">
        <is>
          <t>кадмирование 200, кадмирование деталей 30</t>
        </is>
      </c>
      <c r="K20" s="4" t="inlineStr">
        <is>
          <t>Разделами на этой странице: № 21, 22, 24</t>
        </is>
      </c>
    </row>
    <row r="21" ht="27" customHeight="1">
      <c r="A21" s="9" t="inlineStr">
        <is>
          <t>P3</t>
        </is>
      </c>
      <c r="B21" s="3" t="n">
        <v>15</v>
      </c>
      <c r="C21" s="4" t="inlineStr">
        <is>
          <t>Хим. оксидирование алюминия (электропроводное)</t>
        </is>
      </c>
      <c r="D21" s="7" t="inlineStr">
        <is>
          <t>Нет</t>
        </is>
      </c>
      <c r="E21" s="4" t="inlineStr">
        <is>
          <t>—</t>
        </is>
      </c>
      <c r="F21" s="4" t="inlineStr">
        <is>
          <t>Раздел на странице № 10</t>
        </is>
      </c>
      <c r="G21" s="4" t="inlineStr">
        <is>
          <t>—</t>
        </is>
      </c>
      <c r="H21" s="4" t="inlineStr">
        <is>
          <t>хроматирование — 80</t>
        </is>
      </c>
      <c r="I21" s="6">
        <f>SUMIFS(Запросы!$C$2:$C$109,Запросы!$A$2:$A$109,B21)</f>
        <v/>
      </c>
      <c r="J21" s="4" t="inlineStr">
        <is>
          <t>хроматирование 80, химическое оксидирование алюминия 40, хроматирование алюминия 10</t>
        </is>
      </c>
      <c r="K21" s="4" t="inlineStr"/>
    </row>
    <row r="22" ht="27" customHeight="1">
      <c r="A22" s="9" t="inlineStr">
        <is>
          <t>P3</t>
        </is>
      </c>
      <c r="B22" s="3" t="n">
        <v>28</v>
      </c>
      <c r="C22" s="4" t="inlineStr">
        <is>
          <t>Шлифовка круглая</t>
        </is>
      </c>
      <c r="D22" s="7" t="inlineStr">
        <is>
          <t>Нет</t>
        </is>
      </c>
      <c r="E22" s="4" t="inlineStr">
        <is>
          <t>—</t>
        </is>
      </c>
      <c r="F22" s="4" t="inlineStr">
        <is>
          <t>Новая страница</t>
        </is>
      </c>
      <c r="G22" s="4" t="inlineStr">
        <is>
          <t>/uslugi/kruglaya-shlifovka/</t>
        </is>
      </c>
      <c r="H22" s="4" t="inlineStr">
        <is>
          <t>круглая шлифовка — 60</t>
        </is>
      </c>
      <c r="I22" s="6">
        <f>SUMIFS(Запросы!$C$2:$C$109,Запросы!$A$2:$A$109,B22)</f>
        <v/>
      </c>
      <c r="J22" s="4" t="inlineStr">
        <is>
          <t>круглая шлифовка 60, круглое шлифование 40, круглошлифовальные работы 20</t>
        </is>
      </c>
      <c r="K22" s="4" t="inlineStr"/>
    </row>
    <row r="23" ht="15" customHeight="1">
      <c r="A23" s="9" t="inlineStr">
        <is>
          <t>P3</t>
        </is>
      </c>
      <c r="B23" s="3" t="n">
        <v>5</v>
      </c>
      <c r="C23" s="4" t="inlineStr">
        <is>
          <t>Химическое никелирование</t>
        </is>
      </c>
      <c r="D23" s="7" t="inlineStr">
        <is>
          <t>Нет</t>
        </is>
      </c>
      <c r="E23" s="4" t="inlineStr">
        <is>
          <t>—</t>
        </is>
      </c>
      <c r="F23" s="4" t="inlineStr">
        <is>
          <t>Раздел на странице № 4</t>
        </is>
      </c>
      <c r="G23" s="4" t="inlineStr">
        <is>
          <t>—</t>
        </is>
      </c>
      <c r="H23" s="4" t="inlineStr">
        <is>
          <t>химическое никелирование — 100</t>
        </is>
      </c>
      <c r="I23" s="6">
        <f>SUMIFS(Запросы!$C$2:$C$109,Запросы!$A$2:$A$109,B23)</f>
        <v/>
      </c>
      <c r="J23" s="4" t="inlineStr">
        <is>
          <t>химическое никелирование 100</t>
        </is>
      </c>
      <c r="K23" s="4" t="inlineStr"/>
    </row>
    <row r="24" ht="15" customHeight="1">
      <c r="A24" s="9" t="inlineStr">
        <is>
          <t>P3</t>
        </is>
      </c>
      <c r="B24" s="3" t="n">
        <v>17</v>
      </c>
      <c r="C24" s="4" t="inlineStr">
        <is>
          <t>Олово-висмут (матовое)</t>
        </is>
      </c>
      <c r="D24" s="7" t="inlineStr">
        <is>
          <t>Нет</t>
        </is>
      </c>
      <c r="E24" s="4" t="inlineStr">
        <is>
          <t>—</t>
        </is>
      </c>
      <c r="F24" s="4" t="inlineStr">
        <is>
          <t>Раздел на странице № 16</t>
        </is>
      </c>
      <c r="G24" s="4" t="inlineStr">
        <is>
          <t>—</t>
        </is>
      </c>
      <c r="H24" s="4" t="inlineStr">
        <is>
          <t>покрытие олово-висмут — 40</t>
        </is>
      </c>
      <c r="I24" s="6">
        <f>SUMIFS(Запросы!$C$2:$C$109,Запросы!$A$2:$A$109,B24)</f>
        <v/>
      </c>
      <c r="J24" s="4" t="inlineStr">
        <is>
          <t>покрытие олово-висмут 40, олово висмут покрытие 40</t>
        </is>
      </c>
      <c r="K24" s="4" t="inlineStr"/>
    </row>
    <row r="25" ht="15" customHeight="1">
      <c r="A25" s="9" t="inlineStr">
        <is>
          <t>P3</t>
        </is>
      </c>
      <c r="B25" s="3" t="n">
        <v>11</v>
      </c>
      <c r="C25" s="4" t="inlineStr">
        <is>
          <t>Твёрдое анодирование 20–40 и 40–60 мкм</t>
        </is>
      </c>
      <c r="D25" s="7" t="inlineStr">
        <is>
          <t>Нет</t>
        </is>
      </c>
      <c r="E25" s="4" t="inlineStr">
        <is>
          <t>—</t>
        </is>
      </c>
      <c r="F25" s="4" t="inlineStr">
        <is>
          <t>Раздел на странице № 10</t>
        </is>
      </c>
      <c r="G25" s="4" t="inlineStr">
        <is>
          <t>—</t>
        </is>
      </c>
      <c r="H25" s="4" t="inlineStr">
        <is>
          <t>твердое анодирование алюминия — 40</t>
        </is>
      </c>
      <c r="I25" s="6">
        <f>SUMIFS(Запросы!$C$2:$C$109,Запросы!$A$2:$A$109,B25)</f>
        <v/>
      </c>
      <c r="J25" s="4" t="inlineStr">
        <is>
          <t>твердое анодирование алюминия 40, твердое анодирование 20</t>
        </is>
      </c>
      <c r="K25" s="4" t="inlineStr"/>
    </row>
    <row r="26" ht="15" customHeight="1">
      <c r="A26" s="9" t="inlineStr">
        <is>
          <t>P3</t>
        </is>
      </c>
      <c r="B26" s="3" t="n">
        <v>13</v>
      </c>
      <c r="C26" s="4" t="inlineStr">
        <is>
          <t>Эматалирование</t>
        </is>
      </c>
      <c r="D26" s="7" t="inlineStr">
        <is>
          <t>Нет</t>
        </is>
      </c>
      <c r="E26" s="4" t="inlineStr">
        <is>
          <t>—</t>
        </is>
      </c>
      <c r="F26" s="4" t="inlineStr">
        <is>
          <t>Раздел на странице № 10</t>
        </is>
      </c>
      <c r="G26" s="4" t="inlineStr">
        <is>
          <t>—</t>
        </is>
      </c>
      <c r="H26" s="4" t="inlineStr">
        <is>
          <t>эматалирование — 10</t>
        </is>
      </c>
      <c r="I26" s="6">
        <f>SUMIFS(Запросы!$C$2:$C$109,Запросы!$A$2:$A$109,B26)</f>
        <v/>
      </c>
      <c r="J26" s="4" t="inlineStr">
        <is>
          <t>эматалирование 10</t>
        </is>
      </c>
      <c r="K26" s="4" t="inlineStr"/>
    </row>
    <row r="27" ht="15" customHeight="1">
      <c r="A27" s="9" t="inlineStr">
        <is>
          <t>P3</t>
        </is>
      </c>
      <c r="B27" s="3" t="n">
        <v>14</v>
      </c>
      <c r="C27" s="4" t="inlineStr">
        <is>
          <t>Анодирование хромовое</t>
        </is>
      </c>
      <c r="D27" s="7" t="inlineStr">
        <is>
          <t>Нет</t>
        </is>
      </c>
      <c r="E27" s="4" t="inlineStr">
        <is>
          <t>—</t>
        </is>
      </c>
      <c r="F27" s="4" t="inlineStr">
        <is>
          <t>Раздел на странице № 10</t>
        </is>
      </c>
      <c r="G27" s="4" t="inlineStr">
        <is>
          <t>—</t>
        </is>
      </c>
      <c r="H27" s="4" t="inlineStr">
        <is>
          <t>нет данных</t>
        </is>
      </c>
      <c r="I27" s="6">
        <f>SUMIFS(Запросы!$C$2:$C$109,Запросы!$A$2:$A$109,B27)</f>
        <v/>
      </c>
      <c r="J27" s="4" t="inlineStr">
        <is>
          <t>—</t>
        </is>
      </c>
      <c r="K27" s="4" t="inlineStr">
        <is>
          <t>В Ahrefs данных нет</t>
        </is>
      </c>
    </row>
    <row r="28" ht="15" customHeight="1">
      <c r="A28" s="9" t="inlineStr">
        <is>
          <t>P3</t>
        </is>
      </c>
      <c r="B28" s="3" t="n">
        <v>7</v>
      </c>
      <c r="C28" s="4" t="inlineStr">
        <is>
          <t>Электроплазменная полировка</t>
        </is>
      </c>
      <c r="D28" s="7" t="inlineStr">
        <is>
          <t>Нет</t>
        </is>
      </c>
      <c r="E28" s="4" t="inlineStr">
        <is>
          <t>—</t>
        </is>
      </c>
      <c r="F28" s="4" t="inlineStr">
        <is>
          <t>Раздел на странице № 6</t>
        </is>
      </c>
      <c r="G28" s="4" t="inlineStr">
        <is>
          <t>—</t>
        </is>
      </c>
      <c r="H28" s="4" t="inlineStr">
        <is>
          <t>электроплазменная полировка — 0</t>
        </is>
      </c>
      <c r="I28" s="6">
        <f>SUMIFS(Запросы!$C$2:$C$109,Запросы!$A$2:$A$109,B28)</f>
        <v/>
      </c>
      <c r="J28" s="4" t="inlineStr">
        <is>
          <t>электроплазменная полировка 0, плазменная полировка 0</t>
        </is>
      </c>
      <c r="K28" s="4" t="inlineStr">
        <is>
          <t>В Google спроса нет — проверить в Wordstat</t>
        </is>
      </c>
    </row>
    <row r="29" ht="15" customHeight="1">
      <c r="A29" s="9" t="inlineStr">
        <is>
          <t>P3</t>
        </is>
      </c>
      <c r="B29" s="3" t="n">
        <v>22</v>
      </c>
      <c r="C29" s="4" t="inlineStr">
        <is>
          <t>Кадмирование фосфатированное</t>
        </is>
      </c>
      <c r="D29" s="7" t="inlineStr">
        <is>
          <t>Нет</t>
        </is>
      </c>
      <c r="E29" s="4" t="inlineStr">
        <is>
          <t>—</t>
        </is>
      </c>
      <c r="F29" s="4" t="inlineStr">
        <is>
          <t>Раздел на странице № 2</t>
        </is>
      </c>
      <c r="G29" s="4" t="inlineStr">
        <is>
          <t>—</t>
        </is>
      </c>
      <c r="H29" s="4" t="inlineStr">
        <is>
          <t>кадмирование с фосфатированием — 0</t>
        </is>
      </c>
      <c r="I29" s="6">
        <f>SUMIFS(Запросы!$C$2:$C$109,Запросы!$A$2:$A$109,B29)</f>
        <v/>
      </c>
      <c r="J29" s="4" t="inlineStr">
        <is>
          <t>кадмирование с фосфатированием 0</t>
        </is>
      </c>
      <c r="K29" s="4" t="inlineStr"/>
    </row>
    <row r="30" ht="27" customHeight="1">
      <c r="A30" s="9" t="inlineStr">
        <is>
          <t>P3</t>
        </is>
      </c>
      <c r="B30" s="3" t="n">
        <v>24</v>
      </c>
      <c r="C30" s="4" t="inlineStr">
        <is>
          <t>Кадмирование фосфатированное с оксидированием</t>
        </is>
      </c>
      <c r="D30" s="7" t="inlineStr">
        <is>
          <t>Нет</t>
        </is>
      </c>
      <c r="E30" s="4" t="inlineStr">
        <is>
          <t>—</t>
        </is>
      </c>
      <c r="F30" s="4" t="inlineStr">
        <is>
          <t>Раздел на странице № 2</t>
        </is>
      </c>
      <c r="G30" s="4" t="inlineStr">
        <is>
          <t>—</t>
        </is>
      </c>
      <c r="H30" s="4" t="inlineStr">
        <is>
          <t>нет данных</t>
        </is>
      </c>
      <c r="I30" s="6">
        <f>SUMIFS(Запросы!$C$2:$C$109,Запросы!$A$2:$A$109,B30)</f>
        <v/>
      </c>
      <c r="J30" s="4" t="inlineStr">
        <is>
          <t>—</t>
        </is>
      </c>
      <c r="K30" s="4" t="inlineStr">
        <is>
          <t>В Ahrefs данных нет</t>
        </is>
      </c>
    </row>
    <row r="31" ht="15" customHeight="1">
      <c r="A31" s="9" t="inlineStr">
        <is>
          <t>P3</t>
        </is>
      </c>
      <c r="B31" s="3" t="n">
        <v>26</v>
      </c>
      <c r="C31" s="4" t="inlineStr">
        <is>
          <t>Свинцевание</t>
        </is>
      </c>
      <c r="D31" s="7" t="inlineStr">
        <is>
          <t>Нет</t>
        </is>
      </c>
      <c r="E31" s="4" t="inlineStr">
        <is>
          <t>—</t>
        </is>
      </c>
      <c r="F31" s="4" t="inlineStr">
        <is>
          <t>Строка на странице-хабе</t>
        </is>
      </c>
      <c r="G31" s="4" t="inlineStr">
        <is>
          <t>—</t>
        </is>
      </c>
      <c r="H31" s="4" t="inlineStr">
        <is>
          <t>свинцевание — 0</t>
        </is>
      </c>
      <c r="I31" s="6">
        <f>SUMIFS(Запросы!$C$2:$C$109,Запросы!$A$2:$A$109,B31)</f>
        <v/>
      </c>
      <c r="J31" s="4" t="inlineStr">
        <is>
          <t>свинцевание 0</t>
        </is>
      </c>
      <c r="K31" s="4" t="inlineStr"/>
    </row>
    <row r="32" ht="15" customHeight="1">
      <c r="A32" s="9" t="inlineStr">
        <is>
          <t>P3</t>
        </is>
      </c>
      <c r="B32" s="3" t="n">
        <v>21</v>
      </c>
      <c r="C32" s="4" t="inlineStr">
        <is>
          <t>Кадмирование (повтор № 2)</t>
        </is>
      </c>
      <c r="D32" s="3" t="inlineStr">
        <is>
          <t>—</t>
        </is>
      </c>
      <c r="E32" s="4" t="inlineStr">
        <is>
          <t>—</t>
        </is>
      </c>
      <c r="F32" s="4" t="inlineStr">
        <is>
          <t>Входит в страницу № 2</t>
        </is>
      </c>
      <c r="G32" s="4" t="inlineStr">
        <is>
          <t>—</t>
        </is>
      </c>
      <c r="H32" s="4" t="inlineStr">
        <is>
          <t>нет данных</t>
        </is>
      </c>
      <c r="I32" s="6">
        <f>SUMIFS(Запросы!$C$2:$C$109,Запросы!$A$2:$A$109,B32)</f>
        <v/>
      </c>
      <c r="J32" s="4" t="inlineStr">
        <is>
          <t>—</t>
        </is>
      </c>
      <c r="K32" s="4" t="inlineStr">
        <is>
          <t>В списке клиента дублирует № 2</t>
        </is>
      </c>
    </row>
    <row r="33">
      <c r="C33" s="10" t="n"/>
      <c r="F33" s="11" t="n"/>
    </row>
    <row r="34">
      <c r="C34" s="10" t="inlineStr">
        <is>
          <t>Новых страниц всего</t>
        </is>
      </c>
      <c r="F34" s="11">
        <f>COUNTIF($F$2:$F$32,"Новая*")</f>
        <v/>
      </c>
    </row>
    <row r="35">
      <c r="C35" s="10" t="inlineStr">
        <is>
          <t xml:space="preserve">  из них P1</t>
        </is>
      </c>
      <c r="F35" s="11">
        <f>COUNTIFS($A$2:$A$32,"P1",$F$2:$F$32,"Новая*")</f>
        <v/>
      </c>
    </row>
    <row r="36">
      <c r="C36" s="10" t="inlineStr">
        <is>
          <t xml:space="preserve">  из них P2</t>
        </is>
      </c>
      <c r="F36" s="11">
        <f>COUNTIFS($A$2:$A$32,"P2",$F$2:$F$32,"Новая*")</f>
        <v/>
      </c>
    </row>
    <row r="37">
      <c r="C37" s="10" t="inlineStr">
        <is>
          <t xml:space="preserve">  из них P3</t>
        </is>
      </c>
      <c r="F37" s="11">
        <f>COUNTIFS($A$2:$A$32,"P3",$F$2:$F$32,"Новая*")</f>
        <v/>
      </c>
    </row>
    <row r="38">
      <c r="C38" s="10" t="inlineStr">
        <is>
          <t>Разделом на другой странице</t>
        </is>
      </c>
      <c r="F38" s="11">
        <f>COUNTIF($F$2:$F$32,"Раздел*")+COUNTIF($F$2:$F$32,"Та же*")+COUNTIF($F$2:$F$32,"Строка*")+COUNTIF($F$2:$F$32,"Входит*")</f>
        <v/>
      </c>
    </row>
    <row r="39">
      <c r="C39" t="inlineStr">
        <is>
          <t>Уточнить у клиента</t>
        </is>
      </c>
      <c r="F39">
        <f>COUNTIF($F$2:$F$32,"Уточнить*")</f>
        <v/>
      </c>
    </row>
    <row r="40">
      <c r="C40" s="12" t="n"/>
    </row>
    <row r="41">
      <c r="C41" s="12" t="inlineStr">
        <is>
          <t>Как читать: «Спрос группы» — сумма объёмов всех запросов направления с листа «Запросы» (считается формулой).</t>
        </is>
      </c>
    </row>
    <row r="42">
      <c r="C42" s="12" t="inlineStr">
        <is>
          <t>Источник объёмов: Ahrefs Keywords Explorer, Россия, только Google, среднемесячный объём, выгрузка 15.09.2026. Яндекс не учтён — реальный спрос примерно в 2–3 раза выше; соотношение между направлениями сохраняется.</t>
        </is>
      </c>
    </row>
    <row r="43">
      <c r="C43" s="12" t="inlineStr">
        <is>
          <t>Wordstat (точная частота) — из файла docs/seo/keywords/yandex-wordstat.csv, есть только по нержавейке.</t>
        </is>
      </c>
    </row>
    <row r="44">
      <c r="C44" t="inlineStr">
        <is>
          <t>Цвета: приоритет P1 — зелёный, P2 — жёлтый, P3 — серый. На сайте: «Нет» — красный, «Частично»/«Возможно» — жёлтый.</t>
        </is>
      </c>
    </row>
  </sheetData>
  <autoFilter ref="A1:K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16" customWidth="1" min="3" max="3"/>
    <col width="13" customWidth="1" min="4" max="4"/>
    <col width="15" customWidth="1" min="5" max="5"/>
  </cols>
  <sheetData>
    <row r="1" ht="32" customHeight="1">
      <c r="A1" s="1" t="inlineStr">
        <is>
          <t>№ у клиента</t>
        </is>
      </c>
      <c r="B1" s="1" t="inlineStr">
        <is>
          <t>Запрос</t>
        </is>
      </c>
      <c r="C1" s="1" t="inlineStr">
        <is>
          <t>Объём, Ahrefs RU (Google), мес.</t>
        </is>
      </c>
      <c r="D1" s="1" t="inlineStr">
        <is>
          <t>Сложность KD</t>
        </is>
      </c>
      <c r="E1" s="1" t="inlineStr">
        <is>
          <t>Wordstat точная</t>
        </is>
      </c>
    </row>
    <row r="2" ht="15" customHeight="1">
      <c r="A2" s="4" t="n">
        <v>29</v>
      </c>
      <c r="B2" s="4" t="inlineStr">
        <is>
          <t>лазерная резка металла</t>
        </is>
      </c>
      <c r="C2" s="13" t="n">
        <v>1000</v>
      </c>
      <c r="D2" s="14" t="n">
        <v>0</v>
      </c>
      <c r="E2" s="14" t="n"/>
    </row>
    <row r="3" ht="15" customHeight="1">
      <c r="A3" s="4" t="n">
        <v>29</v>
      </c>
      <c r="B3" s="4" t="inlineStr">
        <is>
          <t>лазерная резка</t>
        </is>
      </c>
      <c r="C3" s="13" t="n">
        <v>600</v>
      </c>
      <c r="D3" s="14" t="n">
        <v>5</v>
      </c>
      <c r="E3" s="14" t="n"/>
    </row>
    <row r="4" ht="15" customHeight="1">
      <c r="A4" s="4" t="n">
        <v>29</v>
      </c>
      <c r="B4" s="4" t="inlineStr">
        <is>
          <t>лазерная резка нержавейки</t>
        </is>
      </c>
      <c r="C4" s="13" t="n">
        <v>500</v>
      </c>
      <c r="D4" s="14" t="n">
        <v>0</v>
      </c>
      <c r="E4" s="14" t="n"/>
    </row>
    <row r="5" ht="15" customHeight="1">
      <c r="A5" s="4" t="n">
        <v>29</v>
      </c>
      <c r="B5" s="4" t="inlineStr">
        <is>
          <t>лазерная резка нержавеющей стали</t>
        </is>
      </c>
      <c r="C5" s="13" t="n">
        <v>300</v>
      </c>
      <c r="D5" s="14" t="n">
        <v>0</v>
      </c>
      <c r="E5" s="14" t="n"/>
    </row>
    <row r="6" ht="15" customHeight="1">
      <c r="A6" s="4" t="n">
        <v>29</v>
      </c>
      <c r="B6" s="4" t="inlineStr">
        <is>
          <t>резка нержавейки лазером</t>
        </is>
      </c>
      <c r="C6" s="13" t="n">
        <v>200</v>
      </c>
      <c r="D6" s="14" t="n">
        <v>0</v>
      </c>
      <c r="E6" s="14" t="n">
        <v>22</v>
      </c>
    </row>
    <row r="7" ht="15" customHeight="1">
      <c r="A7" s="4" t="n">
        <v>29</v>
      </c>
      <c r="B7" s="4" t="inlineStr">
        <is>
          <t>лазерная резка металла нижний новгород</t>
        </is>
      </c>
      <c r="C7" s="13" t="n">
        <v>50</v>
      </c>
      <c r="D7" s="14" t="n">
        <v>0</v>
      </c>
      <c r="E7" s="14" t="n"/>
    </row>
    <row r="8" ht="15" customHeight="1">
      <c r="A8" s="4" t="n">
        <v>29</v>
      </c>
      <c r="B8" s="4" t="inlineStr">
        <is>
          <t>лазерная резка нижний новгород</t>
        </is>
      </c>
      <c r="C8" s="13" t="n">
        <v>40</v>
      </c>
      <c r="D8" s="14" t="n"/>
      <c r="E8" s="14" t="n"/>
    </row>
    <row r="9" ht="15" customHeight="1">
      <c r="A9" s="4" t="n">
        <v>29</v>
      </c>
      <c r="B9" s="4" t="inlineStr">
        <is>
          <t>лазерная резка нержавейки нижний новгород</t>
        </is>
      </c>
      <c r="C9" s="13" t="n">
        <v>0</v>
      </c>
      <c r="D9" s="14" t="n"/>
      <c r="E9" s="14" t="n"/>
    </row>
    <row r="10" ht="15" customHeight="1">
      <c r="A10" s="4" t="n">
        <v>10</v>
      </c>
      <c r="B10" s="4" t="inlineStr">
        <is>
          <t>анодирование</t>
        </is>
      </c>
      <c r="C10" s="13" t="n">
        <v>900</v>
      </c>
      <c r="D10" s="14" t="n">
        <v>7</v>
      </c>
      <c r="E10" s="14" t="n"/>
    </row>
    <row r="11" ht="15" customHeight="1">
      <c r="A11" s="4" t="n">
        <v>10</v>
      </c>
      <c r="B11" s="4" t="inlineStr">
        <is>
          <t>анодирование алюминия</t>
        </is>
      </c>
      <c r="C11" s="13" t="n">
        <v>600</v>
      </c>
      <c r="D11" s="14" t="n">
        <v>0</v>
      </c>
      <c r="E11" s="14" t="n"/>
    </row>
    <row r="12" ht="15" customHeight="1">
      <c r="A12" s="4" t="n">
        <v>10</v>
      </c>
      <c r="B12" s="4" t="inlineStr">
        <is>
          <t>анодное оксидирование</t>
        </is>
      </c>
      <c r="C12" s="13" t="n">
        <v>80</v>
      </c>
      <c r="D12" s="14" t="n">
        <v>0</v>
      </c>
      <c r="E12" s="14" t="n"/>
    </row>
    <row r="13" ht="15" customHeight="1">
      <c r="A13" s="4" t="n">
        <v>10</v>
      </c>
      <c r="B13" s="4" t="inlineStr">
        <is>
          <t>анодирование алюминия цена</t>
        </is>
      </c>
      <c r="C13" s="13" t="n">
        <v>70</v>
      </c>
      <c r="D13" s="14" t="n">
        <v>0</v>
      </c>
      <c r="E13" s="14" t="n"/>
    </row>
    <row r="14" ht="15" customHeight="1">
      <c r="A14" s="4" t="n">
        <v>10</v>
      </c>
      <c r="B14" s="4" t="inlineStr">
        <is>
          <t>цветное анодирование алюминия</t>
        </is>
      </c>
      <c r="C14" s="13" t="n">
        <v>30</v>
      </c>
      <c r="D14" s="14" t="n">
        <v>14</v>
      </c>
      <c r="E14" s="14" t="n"/>
    </row>
    <row r="15" ht="15" customHeight="1">
      <c r="A15" s="4" t="n">
        <v>10</v>
      </c>
      <c r="B15" s="4" t="inlineStr">
        <is>
          <t>анодирование нижний новгород</t>
        </is>
      </c>
      <c r="C15" s="13" t="n">
        <v>0</v>
      </c>
      <c r="D15" s="14" t="n"/>
      <c r="E15" s="14" t="n"/>
    </row>
    <row r="16" ht="15" customHeight="1">
      <c r="A16" s="4" t="n">
        <v>1</v>
      </c>
      <c r="B16" s="4" t="inlineStr">
        <is>
          <t>цинкование</t>
        </is>
      </c>
      <c r="C16" s="13" t="n">
        <v>400</v>
      </c>
      <c r="D16" s="14" t="n">
        <v>0</v>
      </c>
      <c r="E16" s="14" t="n"/>
    </row>
    <row r="17" ht="15" customHeight="1">
      <c r="A17" s="4" t="n">
        <v>1</v>
      </c>
      <c r="B17" s="4" t="inlineStr">
        <is>
          <t>цинкование металла</t>
        </is>
      </c>
      <c r="C17" s="13" t="n">
        <v>300</v>
      </c>
      <c r="D17" s="14" t="n">
        <v>0</v>
      </c>
      <c r="E17" s="14" t="n"/>
    </row>
    <row r="18" ht="15" customHeight="1">
      <c r="A18" s="4" t="n">
        <v>1</v>
      </c>
      <c r="B18" s="4" t="inlineStr">
        <is>
          <t>гальваническое цинкование</t>
        </is>
      </c>
      <c r="C18" s="13" t="n">
        <v>150</v>
      </c>
      <c r="D18" s="14" t="n">
        <v>0</v>
      </c>
      <c r="E18" s="14" t="n"/>
    </row>
    <row r="19" ht="15" customHeight="1">
      <c r="A19" s="4" t="n">
        <v>1</v>
      </c>
      <c r="B19" s="4" t="inlineStr">
        <is>
          <t>цинкование деталей</t>
        </is>
      </c>
      <c r="C19" s="13" t="n">
        <v>50</v>
      </c>
      <c r="D19" s="14" t="n">
        <v>0</v>
      </c>
      <c r="E19" s="14" t="n"/>
    </row>
    <row r="20" ht="15" customHeight="1">
      <c r="A20" s="4" t="n">
        <v>1</v>
      </c>
      <c r="B20" s="4" t="inlineStr">
        <is>
          <t>черное цинкование</t>
        </is>
      </c>
      <c r="C20" s="13" t="n">
        <v>30</v>
      </c>
      <c r="D20" s="14" t="n"/>
      <c r="E20" s="14" t="n"/>
    </row>
    <row r="21" ht="15" customHeight="1">
      <c r="A21" s="4" t="n">
        <v>1</v>
      </c>
      <c r="B21" s="4" t="inlineStr">
        <is>
          <t>цинкование с хроматированием</t>
        </is>
      </c>
      <c r="C21" s="13" t="n">
        <v>20</v>
      </c>
      <c r="D21" s="14" t="n"/>
      <c r="E21" s="14" t="n"/>
    </row>
    <row r="22" ht="15" customHeight="1">
      <c r="A22" s="4" t="n">
        <v>1</v>
      </c>
      <c r="B22" s="4" t="inlineStr">
        <is>
          <t>оцинковка деталей</t>
        </is>
      </c>
      <c r="C22" s="13" t="n">
        <v>20</v>
      </c>
      <c r="D22" s="14" t="n"/>
      <c r="E22" s="14" t="n"/>
    </row>
    <row r="23" ht="15" customHeight="1">
      <c r="A23" s="4" t="n">
        <v>1</v>
      </c>
      <c r="B23" s="4" t="inlineStr">
        <is>
          <t>цинкование цена</t>
        </is>
      </c>
      <c r="C23" s="13" t="n">
        <v>20</v>
      </c>
      <c r="D23" s="14" t="n">
        <v>0</v>
      </c>
      <c r="E23" s="14" t="n"/>
    </row>
    <row r="24" ht="15" customHeight="1">
      <c r="A24" s="4" t="n">
        <v>1</v>
      </c>
      <c r="B24" s="4" t="inlineStr">
        <is>
          <t>желтое цинкование</t>
        </is>
      </c>
      <c r="C24" s="13" t="n">
        <v>10</v>
      </c>
      <c r="D24" s="14" t="n"/>
      <c r="E24" s="14" t="n"/>
    </row>
    <row r="25" ht="15" customHeight="1">
      <c r="A25" s="4" t="n">
        <v>1</v>
      </c>
      <c r="B25" s="4" t="inlineStr">
        <is>
          <t>цинкование крепежа</t>
        </is>
      </c>
      <c r="C25" s="13" t="n">
        <v>10</v>
      </c>
      <c r="D25" s="14" t="n"/>
      <c r="E25" s="14" t="n"/>
    </row>
    <row r="26" ht="15" customHeight="1">
      <c r="A26" s="4" t="n">
        <v>1</v>
      </c>
      <c r="B26" s="4" t="inlineStr">
        <is>
          <t>цинкование нижний новгород</t>
        </is>
      </c>
      <c r="C26" s="13" t="n">
        <v>0</v>
      </c>
      <c r="D26" s="14" t="n"/>
      <c r="E26" s="14" t="n"/>
    </row>
    <row r="27" ht="15" customHeight="1">
      <c r="A27" s="4" t="n">
        <v>25</v>
      </c>
      <c r="B27" s="4" t="inlineStr">
        <is>
          <t>пассивация</t>
        </is>
      </c>
      <c r="C27" s="13" t="n">
        <v>300</v>
      </c>
      <c r="D27" s="14" t="n">
        <v>0</v>
      </c>
      <c r="E27" s="14" t="n"/>
    </row>
    <row r="28" ht="15" customHeight="1">
      <c r="A28" s="4" t="n">
        <v>25</v>
      </c>
      <c r="B28" s="4" t="inlineStr">
        <is>
          <t>пассивация металла</t>
        </is>
      </c>
      <c r="C28" s="13" t="n">
        <v>150</v>
      </c>
      <c r="D28" s="14" t="n">
        <v>0</v>
      </c>
      <c r="E28" s="14" t="n"/>
    </row>
    <row r="29" ht="15" customHeight="1">
      <c r="A29" s="4" t="n">
        <v>25</v>
      </c>
      <c r="B29" s="4" t="inlineStr">
        <is>
          <t>пассивация нержавейки</t>
        </is>
      </c>
      <c r="C29" s="13" t="n">
        <v>150</v>
      </c>
      <c r="D29" s="14" t="n">
        <v>0</v>
      </c>
      <c r="E29" s="14" t="n"/>
    </row>
    <row r="30" ht="15" customHeight="1">
      <c r="A30" s="4" t="n">
        <v>25</v>
      </c>
      <c r="B30" s="4" t="inlineStr">
        <is>
          <t>пассивация нержавеющей стали</t>
        </is>
      </c>
      <c r="C30" s="13" t="n">
        <v>80</v>
      </c>
      <c r="D30" s="14" t="n">
        <v>0</v>
      </c>
      <c r="E30" s="14" t="n"/>
    </row>
    <row r="31" ht="15" customHeight="1">
      <c r="A31" s="4" t="n">
        <v>8</v>
      </c>
      <c r="B31" s="4" t="inlineStr">
        <is>
          <t>травление металла</t>
        </is>
      </c>
      <c r="C31" s="13" t="n">
        <v>150</v>
      </c>
      <c r="D31" s="14" t="n">
        <v>0</v>
      </c>
      <c r="E31" s="14" t="n"/>
    </row>
    <row r="32" ht="15" customHeight="1">
      <c r="A32" s="4" t="n">
        <v>8</v>
      </c>
      <c r="B32" s="4" t="inlineStr">
        <is>
          <t>травление нержавеющей стали</t>
        </is>
      </c>
      <c r="C32" s="13" t="n">
        <v>40</v>
      </c>
      <c r="D32" s="14" t="n"/>
      <c r="E32" s="14" t="n"/>
    </row>
    <row r="33" ht="15" customHeight="1">
      <c r="A33" s="4" t="n">
        <v>8</v>
      </c>
      <c r="B33" s="4" t="inlineStr">
        <is>
          <t>травление нержавейки</t>
        </is>
      </c>
      <c r="C33" s="13" t="n">
        <v>30</v>
      </c>
      <c r="D33" s="14" t="n">
        <v>0</v>
      </c>
      <c r="E33" s="14" t="n"/>
    </row>
    <row r="34" ht="15" customHeight="1">
      <c r="A34" s="4" t="n">
        <v>8</v>
      </c>
      <c r="B34" s="4" t="inlineStr">
        <is>
          <t>травление сварных швов</t>
        </is>
      </c>
      <c r="C34" s="13" t="n">
        <v>0</v>
      </c>
      <c r="D34" s="14" t="n"/>
      <c r="E34" s="14" t="n"/>
    </row>
    <row r="35" ht="15" customHeight="1">
      <c r="A35" s="4" t="n">
        <v>8</v>
      </c>
      <c r="B35" s="4" t="inlineStr">
        <is>
          <t>травление и пассивация</t>
        </is>
      </c>
      <c r="C35" s="13" t="n">
        <v>0</v>
      </c>
      <c r="D35" s="14" t="n"/>
      <c r="E35" s="14" t="n"/>
    </row>
    <row r="36" ht="15" customHeight="1">
      <c r="A36" s="4" t="n">
        <v>30</v>
      </c>
      <c r="B36" s="4" t="inlineStr">
        <is>
          <t>гидроабразивная резка</t>
        </is>
      </c>
      <c r="C36" s="13" t="n">
        <v>350</v>
      </c>
      <c r="D36" s="14" t="n">
        <v>17</v>
      </c>
      <c r="E36" s="14" t="n"/>
    </row>
    <row r="37" ht="15" customHeight="1">
      <c r="A37" s="4" t="n">
        <v>30</v>
      </c>
      <c r="B37" s="4" t="inlineStr">
        <is>
          <t>гидроабразивная резка металла</t>
        </is>
      </c>
      <c r="C37" s="13" t="n">
        <v>300</v>
      </c>
      <c r="D37" s="14" t="n">
        <v>6</v>
      </c>
      <c r="E37" s="14" t="n"/>
    </row>
    <row r="38" ht="15" customHeight="1">
      <c r="A38" s="4" t="n">
        <v>30</v>
      </c>
      <c r="B38" s="4" t="inlineStr">
        <is>
          <t>гидрорезка</t>
        </is>
      </c>
      <c r="C38" s="13" t="n">
        <v>200</v>
      </c>
      <c r="D38" s="14" t="n">
        <v>0</v>
      </c>
      <c r="E38" s="14" t="n"/>
    </row>
    <row r="39" ht="15" customHeight="1">
      <c r="A39" s="4" t="n">
        <v>30</v>
      </c>
      <c r="B39" s="4" t="inlineStr">
        <is>
          <t>гидроабразивная резка нижний новгород</t>
        </is>
      </c>
      <c r="C39" s="13" t="n">
        <v>20</v>
      </c>
      <c r="D39" s="14" t="n"/>
      <c r="E39" s="14" t="n"/>
    </row>
    <row r="40" ht="15" customHeight="1">
      <c r="A40" s="4" t="inlineStr">
        <is>
          <t>Хаб</t>
        </is>
      </c>
      <c r="B40" s="4" t="inlineStr">
        <is>
          <t>гальванические покрытия</t>
        </is>
      </c>
      <c r="C40" s="13" t="n">
        <v>150</v>
      </c>
      <c r="D40" s="14" t="n">
        <v>0</v>
      </c>
      <c r="E40" s="14" t="n"/>
    </row>
    <row r="41" ht="15" customHeight="1">
      <c r="A41" s="4" t="inlineStr">
        <is>
          <t>Хаб</t>
        </is>
      </c>
      <c r="B41" s="4" t="inlineStr">
        <is>
          <t>гальваническое покрытие металла</t>
        </is>
      </c>
      <c r="C41" s="13" t="n">
        <v>90</v>
      </c>
      <c r="D41" s="14" t="n">
        <v>0</v>
      </c>
      <c r="E41" s="14" t="n"/>
    </row>
    <row r="42" ht="15" customHeight="1">
      <c r="A42" s="4" t="inlineStr">
        <is>
          <t>Хаб</t>
        </is>
      </c>
      <c r="B42" s="4" t="inlineStr">
        <is>
          <t>нанесение гальванических покрытий</t>
        </is>
      </c>
      <c r="C42" s="13" t="n">
        <v>80</v>
      </c>
      <c r="D42" s="14" t="n">
        <v>0</v>
      </c>
      <c r="E42" s="14" t="n"/>
    </row>
    <row r="43" ht="15" customHeight="1">
      <c r="A43" s="4" t="inlineStr">
        <is>
          <t>Хаб</t>
        </is>
      </c>
      <c r="B43" s="4" t="inlineStr">
        <is>
          <t>услуги гальваники</t>
        </is>
      </c>
      <c r="C43" s="13" t="n">
        <v>40</v>
      </c>
      <c r="D43" s="14" t="n">
        <v>0</v>
      </c>
      <c r="E43" s="14" t="n"/>
    </row>
    <row r="44" ht="15" customHeight="1">
      <c r="A44" s="4" t="inlineStr">
        <is>
          <t>Хаб</t>
        </is>
      </c>
      <c r="B44" s="4" t="inlineStr">
        <is>
          <t>гальваника на заказ</t>
        </is>
      </c>
      <c r="C44" s="13" t="n">
        <v>20</v>
      </c>
      <c r="D44" s="14" t="n"/>
      <c r="E44" s="14" t="n"/>
    </row>
    <row r="45" ht="15" customHeight="1">
      <c r="A45" s="4" t="inlineStr">
        <is>
          <t>Хаб</t>
        </is>
      </c>
      <c r="B45" s="4" t="inlineStr">
        <is>
          <t>гальваника нижний новгород</t>
        </is>
      </c>
      <c r="C45" s="13" t="n">
        <v>0</v>
      </c>
      <c r="D45" s="14" t="n"/>
      <c r="E45" s="14" t="n"/>
    </row>
    <row r="46" ht="15" customHeight="1">
      <c r="A46" s="4" t="n">
        <v>18</v>
      </c>
      <c r="B46" s="4" t="inlineStr">
        <is>
          <t>хромирование</t>
        </is>
      </c>
      <c r="C46" s="13" t="n">
        <v>250</v>
      </c>
      <c r="D46" s="14" t="n">
        <v>0</v>
      </c>
      <c r="E46" s="14" t="n"/>
    </row>
    <row r="47" ht="15" customHeight="1">
      <c r="A47" s="4" t="n">
        <v>18</v>
      </c>
      <c r="B47" s="4" t="inlineStr">
        <is>
          <t>хромирование деталей</t>
        </is>
      </c>
      <c r="C47" s="13" t="n">
        <v>250</v>
      </c>
      <c r="D47" s="14" t="n">
        <v>0</v>
      </c>
      <c r="E47" s="14" t="n"/>
    </row>
    <row r="48" ht="15" customHeight="1">
      <c r="A48" s="4" t="n">
        <v>18</v>
      </c>
      <c r="B48" s="4" t="inlineStr">
        <is>
          <t>гальваническое хромирование</t>
        </is>
      </c>
      <c r="C48" s="13" t="n">
        <v>80</v>
      </c>
      <c r="D48" s="14" t="n">
        <v>0</v>
      </c>
      <c r="E48" s="14" t="n"/>
    </row>
    <row r="49" ht="15" customHeight="1">
      <c r="A49" s="4" t="n">
        <v>18</v>
      </c>
      <c r="B49" s="4" t="inlineStr">
        <is>
          <t>твердое хромирование</t>
        </is>
      </c>
      <c r="C49" s="13" t="n">
        <v>20</v>
      </c>
      <c r="D49" s="14" t="n">
        <v>0</v>
      </c>
      <c r="E49" s="14" t="n"/>
    </row>
    <row r="50" ht="15" customHeight="1">
      <c r="A50" s="4" t="n">
        <v>18</v>
      </c>
      <c r="B50" s="4" t="inlineStr">
        <is>
          <t>хромирование штоков</t>
        </is>
      </c>
      <c r="C50" s="13" t="n">
        <v>0</v>
      </c>
      <c r="D50" s="14" t="n"/>
      <c r="E50" s="14" t="n"/>
    </row>
    <row r="51" ht="15" customHeight="1">
      <c r="A51" s="4" t="n">
        <v>18</v>
      </c>
      <c r="B51" s="4" t="inlineStr">
        <is>
          <t>хромирование нижний новгород</t>
        </is>
      </c>
      <c r="C51" s="13" t="n">
        <v>0</v>
      </c>
      <c r="D51" s="14" t="n"/>
      <c r="E51" s="14" t="n"/>
    </row>
    <row r="52" ht="15" customHeight="1">
      <c r="A52" s="4" t="n">
        <v>4</v>
      </c>
      <c r="B52" s="4" t="inlineStr">
        <is>
          <t>никелирование</t>
        </is>
      </c>
      <c r="C52" s="13" t="n">
        <v>350</v>
      </c>
      <c r="D52" s="14" t="n">
        <v>0</v>
      </c>
      <c r="E52" s="14" t="n"/>
    </row>
    <row r="53" ht="15" customHeight="1">
      <c r="A53" s="4" t="n">
        <v>4</v>
      </c>
      <c r="B53" s="4" t="inlineStr">
        <is>
          <t>гальваническое никелирование</t>
        </is>
      </c>
      <c r="C53" s="13" t="n">
        <v>60</v>
      </c>
      <c r="D53" s="14" t="n">
        <v>0</v>
      </c>
      <c r="E53" s="14" t="n"/>
    </row>
    <row r="54" ht="15" customHeight="1">
      <c r="A54" s="4" t="n">
        <v>4</v>
      </c>
      <c r="B54" s="4" t="inlineStr">
        <is>
          <t>никелирование металла</t>
        </is>
      </c>
      <c r="C54" s="13" t="n">
        <v>50</v>
      </c>
      <c r="D54" s="14" t="n">
        <v>0</v>
      </c>
      <c r="E54" s="14" t="n"/>
    </row>
    <row r="55" ht="15" customHeight="1">
      <c r="A55" s="4" t="n">
        <v>4</v>
      </c>
      <c r="B55" s="4" t="inlineStr">
        <is>
          <t>никелирование деталей</t>
        </is>
      </c>
      <c r="C55" s="13" t="n">
        <v>50</v>
      </c>
      <c r="D55" s="14" t="n">
        <v>0</v>
      </c>
      <c r="E55" s="14" t="n"/>
    </row>
    <row r="56" ht="15" customHeight="1">
      <c r="A56" s="4" t="n">
        <v>4</v>
      </c>
      <c r="B56" s="4" t="inlineStr">
        <is>
          <t>блестящее никелирование</t>
        </is>
      </c>
      <c r="C56" s="13" t="n">
        <v>0</v>
      </c>
      <c r="D56" s="14" t="n"/>
      <c r="E56" s="14" t="n"/>
    </row>
    <row r="57" ht="15" customHeight="1">
      <c r="A57" s="4" t="n">
        <v>6</v>
      </c>
      <c r="B57" s="4" t="inlineStr">
        <is>
          <t>электрополировка</t>
        </is>
      </c>
      <c r="C57" s="13" t="n">
        <v>90</v>
      </c>
      <c r="D57" s="14" t="n">
        <v>0</v>
      </c>
      <c r="E57" s="14" t="n"/>
    </row>
    <row r="58" ht="15" customHeight="1">
      <c r="A58" s="4" t="n">
        <v>6</v>
      </c>
      <c r="B58" s="4" t="inlineStr">
        <is>
          <t>электрохимическая полировка</t>
        </is>
      </c>
      <c r="C58" s="13" t="n">
        <v>80</v>
      </c>
      <c r="D58" s="14" t="n">
        <v>0</v>
      </c>
      <c r="E58" s="14" t="n"/>
    </row>
    <row r="59" ht="15" customHeight="1">
      <c r="A59" s="4" t="n">
        <v>6</v>
      </c>
      <c r="B59" s="4" t="inlineStr">
        <is>
          <t>электрохимическая полировка нержавейки</t>
        </is>
      </c>
      <c r="C59" s="13" t="n">
        <v>30</v>
      </c>
      <c r="D59" s="14" t="n">
        <v>0</v>
      </c>
      <c r="E59" s="14" t="n"/>
    </row>
    <row r="60" ht="15" customHeight="1">
      <c r="A60" s="4" t="n">
        <v>6</v>
      </c>
      <c r="B60" s="4" t="inlineStr">
        <is>
          <t>электрополировка нержавеющей стали</t>
        </is>
      </c>
      <c r="C60" s="13" t="n">
        <v>30</v>
      </c>
      <c r="D60" s="14" t="n"/>
      <c r="E60" s="14" t="n"/>
    </row>
    <row r="61" ht="15" customHeight="1">
      <c r="A61" s="4" t="n">
        <v>6</v>
      </c>
      <c r="B61" s="4" t="inlineStr">
        <is>
          <t>электрополировка нержавейки</t>
        </is>
      </c>
      <c r="C61" s="13" t="n">
        <v>10</v>
      </c>
      <c r="D61" s="14" t="n"/>
      <c r="E61" s="14" t="n"/>
    </row>
    <row r="62" ht="15" customHeight="1">
      <c r="A62" s="4" t="n">
        <v>9</v>
      </c>
      <c r="B62" s="4" t="inlineStr">
        <is>
          <t>воронение металла</t>
        </is>
      </c>
      <c r="C62" s="13" t="n">
        <v>350</v>
      </c>
      <c r="D62" s="14" t="n">
        <v>0</v>
      </c>
      <c r="E62" s="14" t="n"/>
    </row>
    <row r="63" ht="15" customHeight="1">
      <c r="A63" s="4" t="n">
        <v>9</v>
      </c>
      <c r="B63" s="4" t="inlineStr">
        <is>
          <t>оксидирование</t>
        </is>
      </c>
      <c r="C63" s="13" t="n">
        <v>250</v>
      </c>
      <c r="D63" s="14" t="n">
        <v>0</v>
      </c>
      <c r="E63" s="14" t="n"/>
    </row>
    <row r="64" ht="15" customHeight="1">
      <c r="A64" s="4" t="n">
        <v>9</v>
      </c>
      <c r="B64" s="4" t="inlineStr">
        <is>
          <t>оксидирование стали</t>
        </is>
      </c>
      <c r="C64" s="13" t="n">
        <v>150</v>
      </c>
      <c r="D64" s="14" t="n">
        <v>0</v>
      </c>
      <c r="E64" s="14" t="n"/>
    </row>
    <row r="65" ht="15" customHeight="1">
      <c r="A65" s="4" t="n">
        <v>9</v>
      </c>
      <c r="B65" s="4" t="inlineStr">
        <is>
          <t>химическое оксидирование</t>
        </is>
      </c>
      <c r="C65" s="13" t="n">
        <v>100</v>
      </c>
      <c r="D65" s="14" t="n">
        <v>0</v>
      </c>
      <c r="E65" s="14" t="n"/>
    </row>
    <row r="66" ht="15" customHeight="1">
      <c r="A66" s="4" t="n">
        <v>9</v>
      </c>
      <c r="B66" s="4" t="inlineStr">
        <is>
          <t>химическое оксидирование стали</t>
        </is>
      </c>
      <c r="C66" s="13" t="n">
        <v>50</v>
      </c>
      <c r="D66" s="14" t="n">
        <v>0</v>
      </c>
      <c r="E66" s="14" t="n"/>
    </row>
    <row r="67" ht="15" customHeight="1">
      <c r="A67" s="4" t="n">
        <v>23</v>
      </c>
      <c r="B67" s="4" t="inlineStr">
        <is>
          <t>фосфатирование</t>
        </is>
      </c>
      <c r="C67" s="13" t="n">
        <v>300</v>
      </c>
      <c r="D67" s="14" t="n">
        <v>0</v>
      </c>
      <c r="E67" s="14" t="n"/>
    </row>
    <row r="68" ht="15" customHeight="1">
      <c r="A68" s="4" t="n">
        <v>23</v>
      </c>
      <c r="B68" s="4" t="inlineStr">
        <is>
          <t>фосфатирование металла</t>
        </is>
      </c>
      <c r="C68" s="13" t="n">
        <v>150</v>
      </c>
      <c r="D68" s="14" t="n">
        <v>0</v>
      </c>
      <c r="E68" s="14" t="n"/>
    </row>
    <row r="69" ht="15" customHeight="1">
      <c r="A69" s="4" t="n">
        <v>23</v>
      </c>
      <c r="B69" s="4" t="inlineStr">
        <is>
          <t>химическое фосфатирование</t>
        </is>
      </c>
      <c r="C69" s="13" t="n">
        <v>40</v>
      </c>
      <c r="D69" s="14" t="n">
        <v>0</v>
      </c>
      <c r="E69" s="14" t="n"/>
    </row>
    <row r="70" ht="15" customHeight="1">
      <c r="A70" s="4" t="n">
        <v>12</v>
      </c>
      <c r="B70" s="4" t="inlineStr">
        <is>
          <t>анодирование титана</t>
        </is>
      </c>
      <c r="C70" s="13" t="n">
        <v>400</v>
      </c>
      <c r="D70" s="14" t="n">
        <v>0</v>
      </c>
      <c r="E70" s="14" t="n"/>
    </row>
    <row r="71" ht="15" customHeight="1">
      <c r="A71" s="4" t="n">
        <v>19</v>
      </c>
      <c r="B71" s="4" t="inlineStr">
        <is>
          <t>серебрение</t>
        </is>
      </c>
      <c r="C71" s="13" t="n">
        <v>150</v>
      </c>
      <c r="D71" s="14" t="n">
        <v>0</v>
      </c>
      <c r="E71" s="14" t="n"/>
    </row>
    <row r="72" ht="15" customHeight="1">
      <c r="A72" s="4" t="n">
        <v>19</v>
      </c>
      <c r="B72" s="4" t="inlineStr">
        <is>
          <t>гальваническое серебрение</t>
        </is>
      </c>
      <c r="C72" s="13" t="n">
        <v>150</v>
      </c>
      <c r="D72" s="14" t="n">
        <v>0</v>
      </c>
      <c r="E72" s="14" t="n"/>
    </row>
    <row r="73" ht="15" customHeight="1">
      <c r="A73" s="4" t="n">
        <v>19</v>
      </c>
      <c r="B73" s="4" t="inlineStr">
        <is>
          <t>серебрение металла</t>
        </is>
      </c>
      <c r="C73" s="13" t="n">
        <v>50</v>
      </c>
      <c r="D73" s="14" t="n">
        <v>0</v>
      </c>
      <c r="E73" s="14" t="n"/>
    </row>
    <row r="74" ht="15" customHeight="1">
      <c r="A74" s="4" t="n">
        <v>27</v>
      </c>
      <c r="B74" s="4" t="inlineStr">
        <is>
          <t>шлифовка металла</t>
        </is>
      </c>
      <c r="C74" s="13" t="n">
        <v>250</v>
      </c>
      <c r="D74" s="14" t="n">
        <v>0</v>
      </c>
      <c r="E74" s="14" t="n"/>
    </row>
    <row r="75" ht="15" customHeight="1">
      <c r="A75" s="4" t="n">
        <v>27</v>
      </c>
      <c r="B75" s="4" t="inlineStr">
        <is>
          <t>плоская шлифовка</t>
        </is>
      </c>
      <c r="C75" s="13" t="n">
        <v>30</v>
      </c>
      <c r="D75" s="14" t="n"/>
      <c r="E75" s="14" t="n"/>
    </row>
    <row r="76" ht="15" customHeight="1">
      <c r="A76" s="4" t="n">
        <v>27</v>
      </c>
      <c r="B76" s="4" t="inlineStr">
        <is>
          <t>плоское шлифование</t>
        </is>
      </c>
      <c r="C76" s="13" t="n">
        <v>20</v>
      </c>
      <c r="D76" s="14" t="n"/>
      <c r="E76" s="14" t="n"/>
    </row>
    <row r="77" ht="15" customHeight="1">
      <c r="A77" s="4" t="n">
        <v>27</v>
      </c>
      <c r="B77" s="4" t="inlineStr">
        <is>
          <t>шлифовка металла на заказ</t>
        </is>
      </c>
      <c r="C77" s="13" t="n">
        <v>0</v>
      </c>
      <c r="D77" s="14" t="n"/>
      <c r="E77" s="14" t="n"/>
    </row>
    <row r="78" ht="15" customHeight="1">
      <c r="A78" s="4" t="n">
        <v>16</v>
      </c>
      <c r="B78" s="4" t="inlineStr">
        <is>
          <t>лужение</t>
        </is>
      </c>
      <c r="C78" s="13" t="n">
        <v>200</v>
      </c>
      <c r="D78" s="14" t="n">
        <v>0</v>
      </c>
      <c r="E78" s="14" t="n"/>
    </row>
    <row r="79" ht="15" customHeight="1">
      <c r="A79" s="4" t="n">
        <v>16</v>
      </c>
      <c r="B79" s="4" t="inlineStr">
        <is>
          <t>оловянирование</t>
        </is>
      </c>
      <c r="C79" s="13" t="n">
        <v>40</v>
      </c>
      <c r="D79" s="14" t="n">
        <v>0</v>
      </c>
      <c r="E79" s="14" t="n"/>
    </row>
    <row r="80" ht="15" customHeight="1">
      <c r="A80" s="4" t="n">
        <v>16</v>
      </c>
      <c r="B80" s="4" t="inlineStr">
        <is>
          <t>лужение меди</t>
        </is>
      </c>
      <c r="C80" s="13" t="n">
        <v>40</v>
      </c>
      <c r="D80" s="14" t="n">
        <v>0</v>
      </c>
      <c r="E80" s="14" t="n"/>
    </row>
    <row r="81" ht="15" customHeight="1">
      <c r="A81" s="4" t="n">
        <v>16</v>
      </c>
      <c r="B81" s="4" t="inlineStr">
        <is>
          <t>гальваническое лужение</t>
        </is>
      </c>
      <c r="C81" s="13" t="n">
        <v>10</v>
      </c>
      <c r="D81" s="14" t="n"/>
      <c r="E81" s="14" t="n"/>
    </row>
    <row r="82" ht="15" customHeight="1">
      <c r="A82" s="4" t="n">
        <v>3</v>
      </c>
      <c r="B82" s="4" t="inlineStr">
        <is>
          <t>меднение</t>
        </is>
      </c>
      <c r="C82" s="13" t="n">
        <v>100</v>
      </c>
      <c r="D82" s="14" t="n">
        <v>0</v>
      </c>
      <c r="E82" s="14" t="n"/>
    </row>
    <row r="83" ht="15" customHeight="1">
      <c r="A83" s="4" t="n">
        <v>3</v>
      </c>
      <c r="B83" s="4" t="inlineStr">
        <is>
          <t>меднение металла</t>
        </is>
      </c>
      <c r="C83" s="13" t="n">
        <v>70</v>
      </c>
      <c r="D83" s="14" t="n">
        <v>0</v>
      </c>
      <c r="E83" s="14" t="n"/>
    </row>
    <row r="84" ht="15" customHeight="1">
      <c r="A84" s="4" t="n">
        <v>3</v>
      </c>
      <c r="B84" s="4" t="inlineStr">
        <is>
          <t>гальваническое меднение</t>
        </is>
      </c>
      <c r="C84" s="13" t="n">
        <v>60</v>
      </c>
      <c r="D84" s="14" t="n">
        <v>0</v>
      </c>
      <c r="E84" s="14" t="n"/>
    </row>
    <row r="85" ht="15" customHeight="1">
      <c r="A85" s="4" t="n">
        <v>3</v>
      </c>
      <c r="B85" s="4" t="inlineStr">
        <is>
          <t>меднение алюминия</t>
        </is>
      </c>
      <c r="C85" s="13" t="n">
        <v>40</v>
      </c>
      <c r="D85" s="14" t="n">
        <v>0</v>
      </c>
      <c r="E85" s="14" t="n"/>
    </row>
    <row r="86" ht="15" customHeight="1">
      <c r="A86" s="4" t="n">
        <v>20</v>
      </c>
      <c r="B86" s="4" t="inlineStr">
        <is>
          <t>гальваническое золочение</t>
        </is>
      </c>
      <c r="C86" s="13" t="n">
        <v>150</v>
      </c>
      <c r="D86" s="14" t="n">
        <v>0</v>
      </c>
      <c r="E86" s="14" t="n"/>
    </row>
    <row r="87" ht="15" customHeight="1">
      <c r="A87" s="4" t="n">
        <v>20</v>
      </c>
      <c r="B87" s="4" t="inlineStr">
        <is>
          <t>золочение</t>
        </is>
      </c>
      <c r="C87" s="13" t="n">
        <v>100</v>
      </c>
      <c r="D87" s="14" t="n">
        <v>0</v>
      </c>
      <c r="E87" s="14" t="n"/>
    </row>
    <row r="88" ht="15" customHeight="1">
      <c r="A88" s="4" t="n">
        <v>2</v>
      </c>
      <c r="B88" s="4" t="inlineStr">
        <is>
          <t>кадмирование</t>
        </is>
      </c>
      <c r="C88" s="13" t="n">
        <v>200</v>
      </c>
      <c r="D88" s="14" t="n">
        <v>0</v>
      </c>
      <c r="E88" s="14" t="n"/>
    </row>
    <row r="89" ht="15" customHeight="1">
      <c r="A89" s="4" t="n">
        <v>2</v>
      </c>
      <c r="B89" s="4" t="inlineStr">
        <is>
          <t>кадмирование деталей</t>
        </is>
      </c>
      <c r="C89" s="13" t="n">
        <v>30</v>
      </c>
      <c r="D89" s="14" t="n"/>
      <c r="E89" s="14" t="n"/>
    </row>
    <row r="90" ht="15" customHeight="1">
      <c r="A90" s="4" t="n">
        <v>15</v>
      </c>
      <c r="B90" s="4" t="inlineStr">
        <is>
          <t>хроматирование</t>
        </is>
      </c>
      <c r="C90" s="13" t="n">
        <v>80</v>
      </c>
      <c r="D90" s="14" t="n">
        <v>0</v>
      </c>
      <c r="E90" s="14" t="n"/>
    </row>
    <row r="91" ht="15" customHeight="1">
      <c r="A91" s="4" t="n">
        <v>15</v>
      </c>
      <c r="B91" s="4" t="inlineStr">
        <is>
          <t>химическое оксидирование алюминия</t>
        </is>
      </c>
      <c r="C91" s="13" t="n">
        <v>40</v>
      </c>
      <c r="D91" s="14" t="n">
        <v>0</v>
      </c>
      <c r="E91" s="14" t="n"/>
    </row>
    <row r="92" ht="15" customHeight="1">
      <c r="A92" s="4" t="n">
        <v>15</v>
      </c>
      <c r="B92" s="4" t="inlineStr">
        <is>
          <t>хроматирование алюминия</t>
        </is>
      </c>
      <c r="C92" s="13" t="n">
        <v>10</v>
      </c>
      <c r="D92" s="14" t="n"/>
      <c r="E92" s="14" t="n"/>
    </row>
    <row r="93" ht="15" customHeight="1">
      <c r="A93" s="4" t="n">
        <v>28</v>
      </c>
      <c r="B93" s="4" t="inlineStr">
        <is>
          <t>круглая шлифовка</t>
        </is>
      </c>
      <c r="C93" s="13" t="n">
        <v>60</v>
      </c>
      <c r="D93" s="14" t="n">
        <v>0</v>
      </c>
      <c r="E93" s="14" t="n"/>
    </row>
    <row r="94" ht="15" customHeight="1">
      <c r="A94" s="4" t="n">
        <v>28</v>
      </c>
      <c r="B94" s="4" t="inlineStr">
        <is>
          <t>круглое шлифование</t>
        </is>
      </c>
      <c r="C94" s="13" t="n">
        <v>40</v>
      </c>
      <c r="D94" s="14" t="n">
        <v>0</v>
      </c>
      <c r="E94" s="14" t="n"/>
    </row>
    <row r="95" ht="15" customHeight="1">
      <c r="A95" s="4" t="n">
        <v>28</v>
      </c>
      <c r="B95" s="4" t="inlineStr">
        <is>
          <t>круглошлифовальные работы</t>
        </is>
      </c>
      <c r="C95" s="13" t="n">
        <v>20</v>
      </c>
      <c r="D95" s="14" t="n"/>
      <c r="E95" s="14" t="n"/>
    </row>
    <row r="96" ht="15" customHeight="1">
      <c r="A96" s="4" t="n">
        <v>5</v>
      </c>
      <c r="B96" s="4" t="inlineStr">
        <is>
          <t>химическое никелирование</t>
        </is>
      </c>
      <c r="C96" s="13" t="n">
        <v>100</v>
      </c>
      <c r="D96" s="14" t="n">
        <v>0</v>
      </c>
      <c r="E96" s="14" t="n"/>
    </row>
    <row r="97" ht="15" customHeight="1">
      <c r="A97" s="4" t="n">
        <v>17</v>
      </c>
      <c r="B97" s="4" t="inlineStr">
        <is>
          <t>покрытие олово-висмут</t>
        </is>
      </c>
      <c r="C97" s="13" t="n">
        <v>40</v>
      </c>
      <c r="D97" s="14" t="n">
        <v>0</v>
      </c>
      <c r="E97" s="14" t="n"/>
    </row>
    <row r="98" ht="15" customHeight="1">
      <c r="A98" s="4" t="n">
        <v>17</v>
      </c>
      <c r="B98" s="4" t="inlineStr">
        <is>
          <t>олово висмут покрытие</t>
        </is>
      </c>
      <c r="C98" s="13" t="n">
        <v>40</v>
      </c>
      <c r="D98" s="14" t="n">
        <v>0</v>
      </c>
      <c r="E98" s="14" t="n"/>
    </row>
    <row r="99" ht="15" customHeight="1">
      <c r="A99" s="4" t="n">
        <v>11</v>
      </c>
      <c r="B99" s="4" t="inlineStr">
        <is>
          <t>твердое анодирование алюминия</t>
        </is>
      </c>
      <c r="C99" s="13" t="n">
        <v>40</v>
      </c>
      <c r="D99" s="14" t="n"/>
      <c r="E99" s="14" t="n"/>
    </row>
    <row r="100" ht="15" customHeight="1">
      <c r="A100" s="4" t="n">
        <v>11</v>
      </c>
      <c r="B100" s="4" t="inlineStr">
        <is>
          <t>твердое анодирование</t>
        </is>
      </c>
      <c r="C100" s="13" t="n">
        <v>20</v>
      </c>
      <c r="D100" s="14" t="n"/>
      <c r="E100" s="14" t="n"/>
    </row>
    <row r="101" ht="15" customHeight="1">
      <c r="A101" s="4" t="n">
        <v>13</v>
      </c>
      <c r="B101" s="4" t="inlineStr">
        <is>
          <t>эматалирование</t>
        </is>
      </c>
      <c r="C101" s="13" t="n">
        <v>10</v>
      </c>
      <c r="D101" s="14" t="n"/>
      <c r="E101" s="14" t="n"/>
    </row>
    <row r="102" ht="15" customHeight="1">
      <c r="A102" s="4" t="n">
        <v>7</v>
      </c>
      <c r="B102" s="4" t="inlineStr">
        <is>
          <t>электроплазменная полировка</t>
        </is>
      </c>
      <c r="C102" s="13" t="n">
        <v>0</v>
      </c>
      <c r="D102" s="14" t="n"/>
      <c r="E102" s="14" t="n"/>
    </row>
    <row r="103" ht="15" customHeight="1">
      <c r="A103" s="4" t="n">
        <v>7</v>
      </c>
      <c r="B103" s="4" t="inlineStr">
        <is>
          <t>плазменная полировка</t>
        </is>
      </c>
      <c r="C103" s="13" t="n">
        <v>0</v>
      </c>
      <c r="D103" s="14" t="n"/>
      <c r="E103" s="14" t="n"/>
    </row>
    <row r="104" ht="15" customHeight="1">
      <c r="A104" s="4" t="n">
        <v>22</v>
      </c>
      <c r="B104" s="4" t="inlineStr">
        <is>
          <t>кадмирование с фосфатированием</t>
        </is>
      </c>
      <c r="C104" s="13" t="n">
        <v>0</v>
      </c>
      <c r="D104" s="14" t="n"/>
      <c r="E104" s="14" t="n"/>
    </row>
    <row r="105" ht="15" customHeight="1">
      <c r="A105" s="4" t="n">
        <v>26</v>
      </c>
      <c r="B105" s="4" t="inlineStr">
        <is>
          <t>свинцевание</t>
        </is>
      </c>
      <c r="C105" s="13" t="n">
        <v>0</v>
      </c>
      <c r="D105" s="14" t="n"/>
      <c r="E105" s="14" t="n"/>
    </row>
    <row r="106" ht="15" customHeight="1">
      <c r="A106" s="4" t="inlineStr">
        <is>
          <t>Хаб (общий запрос, не в сумме)</t>
        </is>
      </c>
      <c r="B106" s="4" t="inlineStr">
        <is>
          <t>гальваника</t>
        </is>
      </c>
      <c r="C106" s="13" t="n">
        <v>2500</v>
      </c>
      <c r="D106" s="14" t="n">
        <v>1</v>
      </c>
      <c r="E106" s="14" t="n"/>
    </row>
    <row r="107" ht="15" customHeight="1">
      <c r="A107" s="4" t="inlineStr">
        <is>
          <t>Уже есть: /uslugi/polirovka/</t>
        </is>
      </c>
      <c r="B107" s="4" t="inlineStr">
        <is>
          <t>полировка металла</t>
        </is>
      </c>
      <c r="C107" s="13" t="n">
        <v>100</v>
      </c>
      <c r="D107" s="14" t="n">
        <v>0</v>
      </c>
      <c r="E107" s="14" t="n"/>
    </row>
    <row r="108" ht="15" customHeight="1">
      <c r="A108" s="4" t="inlineStr">
        <is>
          <t>Уже есть: /uslugi/shlifovanie/</t>
        </is>
      </c>
      <c r="B108" s="4" t="inlineStr">
        <is>
          <t>шлифовка нержавейки</t>
        </is>
      </c>
      <c r="C108" s="13" t="n">
        <v>70</v>
      </c>
      <c r="D108" s="14" t="n">
        <v>0</v>
      </c>
      <c r="E108" s="14" t="n">
        <v>65</v>
      </c>
    </row>
    <row r="109" ht="15" customHeight="1">
      <c r="A109" s="4" t="inlineStr">
        <is>
          <t>Уже есть: /uslugi/polirovka/</t>
        </is>
      </c>
      <c r="B109" s="4" t="inlineStr">
        <is>
          <t>полировка нержавейки</t>
        </is>
      </c>
      <c r="C109" s="13" t="n">
        <v>70</v>
      </c>
      <c r="D109" s="14" t="n">
        <v>0</v>
      </c>
      <c r="E109" s="14" t="n">
        <v>216</v>
      </c>
    </row>
  </sheetData>
  <autoFilter ref="A1:E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2026-09-15T09:24:42Z</dcterms:created>
  <dcterms:modified xmlns:dcterms="http://purl.org/dc/terms/" xmlns:xsi="http://www.w3.org/2001/XMLSchema-instance" xsi:type="dcterms:W3CDTF">2026-09-15T09:24:42Z</dcterms:modified>
</cp:coreProperties>
</file>